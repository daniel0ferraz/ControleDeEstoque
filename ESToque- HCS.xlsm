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xl/worksheets/sheet8.xml" ContentType="application/vnd.openxmlformats-officedocument.spreadsheetml.worksheet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CAPA" sheetId="1" state="visible" r:id="rId3"/>
    <sheet name="TELA DE SAIDA" sheetId="2" state="visible" r:id="rId4"/>
    <sheet name="TELA DE ENTRADA" sheetId="3" state="visible" r:id="rId5"/>
    <sheet name="ESTOQUE" sheetId="4" state="visible" r:id="rId6"/>
    <sheet name="Planilha1" sheetId="5" state="visible" r:id="rId7"/>
    <sheet name="SAIDA" sheetId="6" state="visible" r:id="rId8"/>
    <sheet name="ENTRADA" sheetId="7" state="visible" r:id="rId9"/>
    <sheet name="MOT" sheetId="8" state="visible" r:id="rId10"/>
  </sheets>
  <definedNames>
    <definedName function="true" hidden="false" name="Módulo1.BAIXA_ESTOQUE" vbProcedure="true"/>
    <definedName function="true" hidden="false" name="Módulo1.LIMPA_SAIDA" vbProcedure="true"/>
    <definedName function="true" hidden="false" name="Módulo1.Entrada_Material" vbProcedure="true"/>
    <definedName function="true" hidden="false" name="Módulo1.Limpa_Entrada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<sst xmlns="http://schemas.openxmlformats.org/spreadsheetml/2006/main" count="7418" uniqueCount="1457">
  <si>
    <t xml:space="preserve">Controle de Estoque</t>
  </si>
  <si>
    <t xml:space="preserve">Saida Material</t>
  </si>
  <si>
    <t xml:space="preserve">Entrada Material</t>
  </si>
  <si>
    <t xml:space="preserve">Estoque</t>
  </si>
  <si>
    <t xml:space="preserve">CODIGO</t>
  </si>
  <si>
    <t xml:space="preserve">DATA</t>
  </si>
  <si>
    <t xml:space="preserve">DESCRICAO</t>
  </si>
  <si>
    <t xml:space="preserve">QUANTIDADE</t>
  </si>
  <si>
    <t xml:space="preserve">VALOR</t>
  </si>
  <si>
    <t xml:space="preserve">MOTIVO</t>
  </si>
  <si>
    <t xml:space="preserve">OBS:</t>
  </si>
  <si>
    <t xml:space="preserve">ESPECIFICAR</t>
  </si>
  <si>
    <t xml:space="preserve">DEVOLUÇÃO</t>
  </si>
  <si>
    <t xml:space="preserve">DOAÇÃO</t>
  </si>
  <si>
    <t xml:space="preserve">EMPRESTIMO</t>
  </si>
  <si>
    <t xml:space="preserve">NOTA FISCAL</t>
  </si>
  <si>
    <t xml:space="preserve">,</t>
  </si>
  <si>
    <t xml:space="preserve">DESCRIÇÃO</t>
  </si>
  <si>
    <t xml:space="preserve">MARCA</t>
  </si>
  <si>
    <t xml:space="preserve">TOTAL ENTRADAS</t>
  </si>
  <si>
    <t xml:space="preserve">TOTAL SAIDA</t>
  </si>
  <si>
    <t xml:space="preserve">QUANTIDADE ATUALIZADA</t>
  </si>
  <si>
    <t xml:space="preserve">ACCESS POINT CISCO</t>
  </si>
  <si>
    <t xml:space="preserve">HCS</t>
  </si>
  <si>
    <t xml:space="preserve">adaptador de tomada</t>
  </si>
  <si>
    <t xml:space="preserve">ADPTADORES (IMPRESSORA SIMPRESS)</t>
  </si>
  <si>
    <t xml:space="preserve">BANDEJA DE RACK COM TRILHO</t>
  </si>
  <si>
    <t xml:space="preserve">BANDEJAS DE RACK</t>
  </si>
  <si>
    <t xml:space="preserve">BASE PARA TABLET DELL</t>
  </si>
  <si>
    <t xml:space="preserve">Base ramal móvel cisco</t>
  </si>
  <si>
    <t xml:space="preserve">BATERIAS CISCO 7925G-EXT</t>
  </si>
  <si>
    <t xml:space="preserve">BOBINAS PARA RELOGIO</t>
  </si>
  <si>
    <t xml:space="preserve">BRAÇOS PARA IPAD</t>
  </si>
  <si>
    <t xml:space="preserve">C2960X- STACK- CISCO – CABO</t>
  </si>
  <si>
    <t xml:space="preserve">CABO CONVERSOR BNC</t>
  </si>
  <si>
    <t xml:space="preserve">Cabo de Rede</t>
  </si>
  <si>
    <t xml:space="preserve">Cabo Displey Port</t>
  </si>
  <si>
    <t xml:space="preserve">cabo força</t>
  </si>
  <si>
    <t xml:space="preserve">cabo força suporte IPAD</t>
  </si>
  <si>
    <t xml:space="preserve">Cabo RJ 11</t>
  </si>
  <si>
    <t xml:space="preserve">Cabo USB IPAD</t>
  </si>
  <si>
    <t xml:space="preserve">Cabo USB PADRAO</t>
  </si>
  <si>
    <t xml:space="preserve">Cabo VGA</t>
  </si>
  <si>
    <t xml:space="preserve">CABOS DE REDE CAT 0.6 CINZA</t>
  </si>
  <si>
    <t xml:space="preserve">CABOS HDMI</t>
  </si>
  <si>
    <t xml:space="preserve">CAIXA DE PATH COARD (em CAIXA)</t>
  </si>
  <si>
    <t xml:space="preserve">CAIXAS DELL COM PEÇAS CHAMADO CRITICO</t>
  </si>
  <si>
    <t xml:space="preserve">CANETA HIGH SENSITIVE PARA TABLET</t>
  </si>
  <si>
    <t xml:space="preserve">CAPA DE TABLETS (MARROM)</t>
  </si>
  <si>
    <t xml:space="preserve">CARREGADOR IPAD</t>
  </si>
  <si>
    <t xml:space="preserve">Cartucho   Yellow Ink PJIC5(Y) C13S020451</t>
  </si>
  <si>
    <t xml:space="preserve">Cartucho  Light Cyan Ink PJIC2(LC) C13S020448 </t>
  </si>
  <si>
    <t xml:space="preserve">Cartucho  Light Magenta Ink PJIC3(LM) C13S020449 </t>
  </si>
  <si>
    <t xml:space="preserve">Cartucho Black Ink PJIC6(K)C13S020476</t>
  </si>
  <si>
    <t xml:space="preserve">Cartucho Cyan Ink PJIC1(C) C13S020447 </t>
  </si>
  <si>
    <t xml:space="preserve">Cartucho Magenta Ink PJIC4(M)  C13S020450</t>
  </si>
  <si>
    <t xml:space="preserve">CELULAR WIN MATE</t>
  </si>
  <si>
    <t xml:space="preserve">DELL ALL IN ONE BRANCO- ST HTCVVC2</t>
  </si>
  <si>
    <t xml:space="preserve">DELL ALLIN ONE PRETO</t>
  </si>
  <si>
    <t xml:space="preserve">DELL DESKTOPS</t>
  </si>
  <si>
    <t xml:space="preserve">LEITOR DE DVD USB</t>
  </si>
  <si>
    <t xml:space="preserve">EQUIPAMENTO DIGSTAR com cabo</t>
  </si>
  <si>
    <t xml:space="preserve">EXTENSÃO</t>
  </si>
  <si>
    <t xml:space="preserve">FILTRO DE LINHA</t>
  </si>
  <si>
    <t xml:space="preserve">FONES DE OUVIDO C320</t>
  </si>
  <si>
    <t xml:space="preserve">FONTE BASE DO TABLET DELL</t>
  </si>
  <si>
    <t xml:space="preserve">FONTE DO RELÓGIO DE PONTO</t>
  </si>
  <si>
    <t xml:space="preserve">FONTE TABLET DELL</t>
  </si>
  <si>
    <t xml:space="preserve">GAVETEIRO BEMATECH</t>
  </si>
  <si>
    <t xml:space="preserve">GUIA DE CABO</t>
  </si>
  <si>
    <t xml:space="preserve">HCSMINI20 C/ FONTE</t>
  </si>
  <si>
    <t xml:space="preserve">HCSMINI30 S/ FONTE</t>
  </si>
  <si>
    <t xml:space="preserve">IMPRESSORA EPSON (ROBO)</t>
  </si>
  <si>
    <t xml:space="preserve">IMPRESSORA MP4200</t>
  </si>
  <si>
    <t xml:space="preserve">IMPRESSORA SAMSUNG MULTI 4070</t>
  </si>
  <si>
    <t xml:space="preserve">INTERFACE DE REDE – MP4200 – TH</t>
  </si>
  <si>
    <t xml:space="preserve">IPAD PRESO NO BRAÇO</t>
  </si>
  <si>
    <t xml:space="preserve">IPAD SOLTOS</t>
  </si>
  <si>
    <t xml:space="preserve">KIT DELL MOUSE E TECLADO SEM FIO (sem cx)</t>
  </si>
  <si>
    <t xml:space="preserve">KIT MOUSE E TECLADO DELL S/ FIO (CAIXA)</t>
  </si>
  <si>
    <t xml:space="preserve">KIT PISTOLA HONEYWELL 1902 C/ BASE (sem fio)</t>
  </si>
  <si>
    <t xml:space="preserve">KIT PISTOLA HONEYWELL 1900</t>
  </si>
  <si>
    <t xml:space="preserve">KIT PISTOLA SYMBOL (PISTOLA + SUPORTE)</t>
  </si>
  <si>
    <t xml:space="preserve">Kit suporte e antena mini PC</t>
  </si>
  <si>
    <t xml:space="preserve">Kit teclado e mouse sem o adaptador USB</t>
  </si>
  <si>
    <t xml:space="preserve">KVM USB</t>
  </si>
  <si>
    <t xml:space="preserve">LEITORES DE MESA</t>
  </si>
  <si>
    <t xml:space="preserve">LOCK CABBLE PARA TABLETS</t>
  </si>
  <si>
    <t xml:space="preserve">MICRO STUDIO PRIME</t>
  </si>
  <si>
    <t xml:space="preserve">MICROFONE CISCO CP-8831</t>
  </si>
  <si>
    <t xml:space="preserve">MINI PC DELL</t>
  </si>
  <si>
    <t xml:space="preserve">MONITOR - RESTAURANTE -</t>
  </si>
  <si>
    <t xml:space="preserve">MONITOR DELL</t>
  </si>
  <si>
    <t xml:space="preserve">MONITOR LG USADO S/ CABO DE FORÇA E VIDEO</t>
  </si>
  <si>
    <t xml:space="preserve">MOUSE APLE</t>
  </si>
  <si>
    <t xml:space="preserve">MOUSE MULTILASER C/ FIO</t>
  </si>
  <si>
    <t xml:space="preserve">MOUSE PAD DELL</t>
  </si>
  <si>
    <t xml:space="preserve">NET – SHELTER – APC (em CAIXA)</t>
  </si>
  <si>
    <t xml:space="preserve">PEÇAS DIVERSAS DO RACK (em CAIXA)</t>
  </si>
  <si>
    <t xml:space="preserve">PEÇAS DO NOBREACK (em CAIXA)</t>
  </si>
  <si>
    <t xml:space="preserve">PELICULA PARA TABLET</t>
  </si>
  <si>
    <t xml:space="preserve">PISTOLA HONEYWELL c/ fio</t>
  </si>
  <si>
    <t xml:space="preserve">PLACA FONTE IMPRESSORA SIMPRESS</t>
  </si>
  <si>
    <t xml:space="preserve">PROTETOR DESCARTÁVEL DE FONE DE OUVIDO cx</t>
  </si>
  <si>
    <t xml:space="preserve">RELÓGIO DE PONTO MADDIS</t>
  </si>
  <si>
    <t xml:space="preserve">SAMSUNG GALAXY TAB A SM-T550</t>
  </si>
  <si>
    <t xml:space="preserve">SPIRADUTO 3/4” (EM CAIXAS)</t>
  </si>
  <si>
    <t xml:space="preserve">SUPORTE DE RACK DELL</t>
  </si>
  <si>
    <t xml:space="preserve">SUPORTE DIVERSOS</t>
  </si>
  <si>
    <t xml:space="preserve">SUPORTE PARA AP (em CAIXAS)</t>
  </si>
  <si>
    <t xml:space="preserve">SUPORTE PARA MINI PC</t>
  </si>
  <si>
    <t xml:space="preserve">SUPORTE PARA TV 55'</t>
  </si>
  <si>
    <t xml:space="preserve">TABLET CISCO</t>
  </si>
  <si>
    <t xml:space="preserve">TABLET DELL + FONTE</t>
  </si>
  <si>
    <t xml:space="preserve">TABLET DELL PARA TESTE id: 005</t>
  </si>
  <si>
    <t xml:space="preserve">TECLADO APpLE</t>
  </si>
  <si>
    <t xml:space="preserve">TECLADO DELL COM FIO</t>
  </si>
  <si>
    <t xml:space="preserve">TECLADO FLEXÍVEL C/ FIO AZUL</t>
  </si>
  <si>
    <t xml:space="preserve">TECLADO FLEXÍVEL C/ FIO PRETO</t>
  </si>
  <si>
    <t xml:space="preserve">TECLADO PARA MINI PC</t>
  </si>
  <si>
    <t xml:space="preserve">TELEFONE CISCO CP-3905 (PRETO)</t>
  </si>
  <si>
    <t xml:space="preserve">TELEFONE CISCO CP-7841-W-K9 (BRANCO)</t>
  </si>
  <si>
    <t xml:space="preserve">Telefone Cisco MOVEL</t>
  </si>
  <si>
    <t xml:space="preserve">TELEFONE cisco DX650</t>
  </si>
  <si>
    <t xml:space="preserve">TELEVISÃO 24 POLEGADAS</t>
  </si>
  <si>
    <t xml:space="preserve">TELEVISÃO 28 POLEGADAS</t>
  </si>
  <si>
    <t xml:space="preserve">TONER 203U</t>
  </si>
  <si>
    <t xml:space="preserve">TONER K506L AMARELO</t>
  </si>
  <si>
    <t xml:space="preserve">TONER K506L CIANO</t>
  </si>
  <si>
    <t xml:space="preserve">TONER K506L MAGENTA</t>
  </si>
  <si>
    <t xml:space="preserve">TONER K506L PRETO</t>
  </si>
  <si>
    <t xml:space="preserve">TORRE USB</t>
  </si>
  <si>
    <t xml:space="preserve">TRANSFORMADOR MED</t>
  </si>
  <si>
    <t xml:space="preserve">TRANSFORMADOR PEQ</t>
  </si>
  <si>
    <t xml:space="preserve">webcam</t>
  </si>
  <si>
    <t xml:space="preserve">XEROX 7500 AMARELO</t>
  </si>
  <si>
    <t xml:space="preserve">XEROX 7500 CIANO</t>
  </si>
  <si>
    <t xml:space="preserve">XEROX 7500 MAGENTA</t>
  </si>
  <si>
    <t xml:space="preserve">XEROX 7500 PRETO</t>
  </si>
  <si>
    <t xml:space="preserve">Zebra 230</t>
  </si>
  <si>
    <t xml:space="preserve">Zebra Fonte</t>
  </si>
  <si>
    <t xml:space="preserve">ZEBRA GK420t</t>
  </si>
  <si>
    <t xml:space="preserve">CAPA PARA TELEFONE MÓVEL CISCO CP-7925G</t>
  </si>
  <si>
    <t xml:space="preserve">HEADSET</t>
  </si>
  <si>
    <t xml:space="preserve">Cabo DVI - Display Port</t>
  </si>
  <si>
    <t xml:space="preserve">Cabo DVI</t>
  </si>
  <si>
    <t xml:space="preserve">Samsung J5</t>
  </si>
  <si>
    <t xml:space="preserve">Cabo mini DP to HDMI</t>
  </si>
  <si>
    <t xml:space="preserve">Gravador externo LG</t>
  </si>
  <si>
    <t xml:space="preserve">Toner K609S Preto</t>
  </si>
  <si>
    <t xml:space="preserve">Toner M609S Margenta</t>
  </si>
  <si>
    <t xml:space="preserve">Toner C609S Ciano</t>
  </si>
  <si>
    <t xml:space="preserve">Toner Y609S Yellow</t>
  </si>
  <si>
    <t xml:space="preserve">Kit Mouse e Teclado Microsoft</t>
  </si>
  <si>
    <t xml:space="preserve">Cartucho Residual 7500</t>
  </si>
  <si>
    <t xml:space="preserve">XEROX 7800 AMARELO</t>
  </si>
  <si>
    <t xml:space="preserve">XEROX 7800 CIANO</t>
  </si>
  <si>
    <t xml:space="preserve">XEROX 7800 MAGENTA</t>
  </si>
  <si>
    <t xml:space="preserve">XEROX 7800 PRETO</t>
  </si>
  <si>
    <t xml:space="preserve">Cartucho Residual 7800 xerox</t>
  </si>
  <si>
    <t xml:space="preserve">XEROX 600 AMARELO</t>
  </si>
  <si>
    <t xml:space="preserve">XEROX 600 CIANO</t>
  </si>
  <si>
    <t xml:space="preserve">XEROX 600 MAGENTA</t>
  </si>
  <si>
    <t xml:space="preserve">XEROX 600 PRETO</t>
  </si>
  <si>
    <t xml:space="preserve">Cartucho Residual 600 xerox</t>
  </si>
  <si>
    <t xml:space="preserve">LENOVO ALLIN ONE PRETO</t>
  </si>
  <si>
    <t xml:space="preserve">Notebook</t>
  </si>
  <si>
    <t xml:space="preserve">Cartucho Residual CLP-680</t>
  </si>
  <si>
    <t xml:space="preserve">Impressora bemathch + lam card</t>
  </si>
  <si>
    <t xml:space="preserve">4010 AMARELO</t>
  </si>
  <si>
    <t xml:space="preserve">4010 CIANO</t>
  </si>
  <si>
    <t xml:space="preserve">4010 MAGENTA</t>
  </si>
  <si>
    <t xml:space="preserve">4010 PRETO</t>
  </si>
  <si>
    <t xml:space="preserve">Cartucho Residual 4010</t>
  </si>
  <si>
    <t xml:space="preserve">cod</t>
  </si>
  <si>
    <t xml:space="preserve">descrição</t>
  </si>
  <si>
    <t xml:space="preserve">quantidade</t>
  </si>
  <si>
    <t xml:space="preserve">Armario</t>
  </si>
  <si>
    <t xml:space="preserve">CHAMADO</t>
  </si>
  <si>
    <t xml:space="preserve">DOR06975296</t>
  </si>
  <si>
    <t xml:space="preserve">	
DOR06923280</t>
  </si>
  <si>
    <t xml:space="preserve">	
DOR06923241</t>
  </si>
  <si>
    <t xml:space="preserve">DOR06911877</t>
  </si>
  <si>
    <t xml:space="preserve">DOR06910554</t>
  </si>
  <si>
    <t xml:space="preserve">DOR06906937</t>
  </si>
  <si>
    <t xml:space="preserve">DOR06905392</t>
  </si>
  <si>
    <t xml:space="preserve">DOR06904526/ </t>
  </si>
  <si>
    <t xml:space="preserve">DOR06896760</t>
  </si>
  <si>
    <t xml:space="preserve">DOR06896331</t>
  </si>
  <si>
    <t xml:space="preserve">DOR06895085</t>
  </si>
  <si>
    <t xml:space="preserve">DOR06891838</t>
  </si>
  <si>
    <t xml:space="preserve">DOR06885859/DOR06886686</t>
  </si>
  <si>
    <t xml:space="preserve">Chamado Dayclinic</t>
  </si>
  <si>
    <t xml:space="preserve">Posto 5B</t>
  </si>
  <si>
    <t xml:space="preserve">DOR06867721</t>
  </si>
  <si>
    <t xml:space="preserve">DOR06867472</t>
  </si>
  <si>
    <t xml:space="preserve">DOR06867892/ DOR06868566</t>
  </si>
  <si>
    <t xml:space="preserve">DOR06860613</t>
  </si>
  <si>
    <t xml:space="preserve">DOR06850654</t>
  </si>
  <si>
    <t xml:space="preserve">DOR06847148</t>
  </si>
  <si>
    <t xml:space="preserve">DOR06843387</t>
  </si>
  <si>
    <t xml:space="preserve">DOR06841548/06841575</t>
  </si>
  <si>
    <t xml:space="preserve">	
DOR06839917</t>
  </si>
  <si>
    <t xml:space="preserve">DOR06837898</t>
  </si>
  <si>
    <t xml:space="preserve">DOR06831770</t>
  </si>
  <si>
    <t xml:space="preserve">DOR06826219/ DOR06825138</t>
  </si>
  <si>
    <t xml:space="preserve">	
DOR06822951</t>
  </si>
  <si>
    <t xml:space="preserve">DOR06822951</t>
  </si>
  <si>
    <t xml:space="preserve">DOR06824402/</t>
  </si>
  <si>
    <t xml:space="preserve">DOR06819556</t>
  </si>
  <si>
    <t xml:space="preserve">DOR06815939</t>
  </si>
  <si>
    <t xml:space="preserve">DOR06808371/06808144</t>
  </si>
  <si>
    <t xml:space="preserve">DOR06805957</t>
  </si>
  <si>
    <t xml:space="preserve">DOR06801331</t>
  </si>
  <si>
    <t xml:space="preserve">DOR06802615</t>
  </si>
  <si>
    <t xml:space="preserve">DOR06802708</t>
  </si>
  <si>
    <t xml:space="preserve">DOR06798708</t>
  </si>
  <si>
    <t xml:space="preserve">DOR06797568</t>
  </si>
  <si>
    <t xml:space="preserve">DOR06794232</t>
  </si>
  <si>
    <t xml:space="preserve">	
DOR06790670</t>
  </si>
  <si>
    <t xml:space="preserve">DOR06791071</t>
  </si>
  <si>
    <t xml:space="preserve">DOR06779606</t>
  </si>
  <si>
    <t xml:space="preserve">	
DOR06780839</t>
  </si>
  <si>
    <t xml:space="preserve">DOR06761366</t>
  </si>
  <si>
    <t xml:space="preserve">Sala 326</t>
  </si>
  <si>
    <t xml:space="preserve">	
DOR06730462</t>
  </si>
  <si>
    <t xml:space="preserve">DOR06729877</t>
  </si>
  <si>
    <t xml:space="preserve">DOR06729934</t>
  </si>
  <si>
    <t xml:space="preserve">Plantão/ sem dor</t>
  </si>
  <si>
    <t xml:space="preserve">DOR06722785</t>
  </si>
  <si>
    <t xml:space="preserve">DOR06718892</t>
  </si>
  <si>
    <t xml:space="preserve">	
DOR06700170 - Toner com defeito</t>
  </si>
  <si>
    <t xml:space="preserve">DOR06700047</t>
  </si>
  <si>
    <t xml:space="preserve">Arquivo</t>
  </si>
  <si>
    <t xml:space="preserve">DOR06689503</t>
  </si>
  <si>
    <t xml:space="preserve">DOR06689339</t>
  </si>
  <si>
    <t xml:space="preserve">	
DOR06689053</t>
  </si>
  <si>
    <t xml:space="preserve">DOR06670659</t>
  </si>
  <si>
    <t xml:space="preserve">DOR06671130</t>
  </si>
  <si>
    <t xml:space="preserve">DOR06670440</t>
  </si>
  <si>
    <t xml:space="preserve">	
DOR06660786</t>
  </si>
  <si>
    <t xml:space="preserve">DOR06640554</t>
  </si>
  <si>
    <t xml:space="preserve">DOR06639209</t>
  </si>
  <si>
    <t xml:space="preserve">DOR06639263</t>
  </si>
  <si>
    <t xml:space="preserve">DOR06627653</t>
  </si>
  <si>
    <t xml:space="preserve">DOR06608342</t>
  </si>
  <si>
    <t xml:space="preserve">DOR06608365</t>
  </si>
  <si>
    <t xml:space="preserve">DOR06607984</t>
  </si>
  <si>
    <t xml:space="preserve">TONER K506L Ciano</t>
  </si>
  <si>
    <t xml:space="preserve">	
DOR06584096</t>
  </si>
  <si>
    <t xml:space="preserve">DOR06581742</t>
  </si>
  <si>
    <t xml:space="preserve">DOR06581723</t>
  </si>
  <si>
    <t xml:space="preserve">	
DOR06581794</t>
  </si>
  <si>
    <t xml:space="preserve">DOR06581091</t>
  </si>
  <si>
    <t xml:space="preserve">DOR06581273</t>
  </si>
  <si>
    <t xml:space="preserve">DOR06580959</t>
  </si>
  <si>
    <t xml:space="preserve">DOR06576529</t>
  </si>
  <si>
    <t xml:space="preserve">DOR06559514</t>
  </si>
  <si>
    <t xml:space="preserve">DOR06558231</t>
  </si>
  <si>
    <t xml:space="preserve">DOR06554295</t>
  </si>
  <si>
    <t xml:space="preserve">DOR06553854</t>
  </si>
  <si>
    <t xml:space="preserve">DOR06552482</t>
  </si>
  <si>
    <t xml:space="preserve">DOR06547374</t>
  </si>
  <si>
    <t xml:space="preserve">DOR06543896</t>
  </si>
  <si>
    <t xml:space="preserve">	
DOR06541413</t>
  </si>
  <si>
    <t xml:space="preserve">PG 12</t>
  </si>
  <si>
    <t xml:space="preserve">DOR06535768</t>
  </si>
  <si>
    <t xml:space="preserve">DOR06524573</t>
  </si>
  <si>
    <t xml:space="preserve">DOR06524544</t>
  </si>
  <si>
    <t xml:space="preserve">DOR06524547</t>
  </si>
  <si>
    <t xml:space="preserve">DOR06508986</t>
  </si>
  <si>
    <t xml:space="preserve">DOR06508468</t>
  </si>
  <si>
    <t xml:space="preserve">	
DOR06505797</t>
  </si>
  <si>
    <t xml:space="preserve">DOR06500751</t>
  </si>
  <si>
    <t xml:space="preserve">DOR06500266</t>
  </si>
  <si>
    <t xml:space="preserve">	
DOR06496293</t>
  </si>
  <si>
    <t xml:space="preserve">DOR06496206</t>
  </si>
  <si>
    <t xml:space="preserve">	
DOR06496030</t>
  </si>
  <si>
    <t xml:space="preserve">DOR06492676</t>
  </si>
  <si>
    <t xml:space="preserve">DOR06494030</t>
  </si>
  <si>
    <t xml:space="preserve">	
DOR06484300</t>
  </si>
  <si>
    <t xml:space="preserve">DOR06478362</t>
  </si>
  <si>
    <t xml:space="preserve">Plantão. </t>
  </si>
  <si>
    <t xml:space="preserve">DOR06476302</t>
  </si>
  <si>
    <t xml:space="preserve">DOR06477368</t>
  </si>
  <si>
    <t xml:space="preserve">PG12</t>
  </si>
  <si>
    <t xml:space="preserve">DOR06470141</t>
  </si>
  <si>
    <t xml:space="preserve">DOR06470287</t>
  </si>
  <si>
    <t xml:space="preserve">DOR06465845</t>
  </si>
  <si>
    <t xml:space="preserve">DOR06464231</t>
  </si>
  <si>
    <t xml:space="preserve">DOR06456870</t>
  </si>
  <si>
    <t xml:space="preserve">DOR06456613</t>
  </si>
  <si>
    <t xml:space="preserve">DOR06451181</t>
  </si>
  <si>
    <t xml:space="preserve">DOR06450080</t>
  </si>
  <si>
    <t xml:space="preserve">
DOR06448744</t>
  </si>
  <si>
    <t xml:space="preserve">
DOR06443165</t>
  </si>
  <si>
    <t xml:space="preserve">DOR06440986</t>
  </si>
  <si>
    <t xml:space="preserve">DOR06436926 ( um deles estava com defeito )</t>
  </si>
  <si>
    <t xml:space="preserve">DOR06436926</t>
  </si>
  <si>
    <t xml:space="preserve">DOR06436802</t>
  </si>
  <si>
    <t xml:space="preserve">DOR06436299</t>
  </si>
  <si>
    <t xml:space="preserve">DOR06429241</t>
  </si>
  <si>
    <t xml:space="preserve">DOR06429183</t>
  </si>
  <si>
    <t xml:space="preserve">DOR06426942</t>
  </si>
  <si>
    <t xml:space="preserve">DOR06424687</t>
  </si>
  <si>
    <t xml:space="preserve">DOR06419196</t>
  </si>
  <si>
    <t xml:space="preserve">DOR06419410</t>
  </si>
  <si>
    <t xml:space="preserve">DOR06418900</t>
  </si>
  <si>
    <t xml:space="preserve">DOR06418859</t>
  </si>
  <si>
    <t xml:space="preserve">DOR06417075</t>
  </si>
  <si>
    <t xml:space="preserve">DOR06415574</t>
  </si>
  <si>
    <t xml:space="preserve">DOR06411022</t>
  </si>
  <si>
    <t xml:space="preserve">DOR06410520</t>
  </si>
  <si>
    <t xml:space="preserve">DOR06410518</t>
  </si>
  <si>
    <t xml:space="preserve">DOR06405124</t>
  </si>
  <si>
    <t xml:space="preserve">DOR06402758</t>
  </si>
  <si>
    <t xml:space="preserve">
DOR06387480</t>
  </si>
  <si>
    <t xml:space="preserve">DOR06383194</t>
  </si>
  <si>
    <t xml:space="preserve">DOR06382729</t>
  </si>
  <si>
    <t xml:space="preserve">DOR06382879</t>
  </si>
  <si>
    <t xml:space="preserve">DOR06380375</t>
  </si>
  <si>
    <t xml:space="preserve">DOR06378563</t>
  </si>
  <si>
    <t xml:space="preserve">DOR06376158</t>
  </si>
  <si>
    <t xml:space="preserve">DOR06369369</t>
  </si>
  <si>
    <t xml:space="preserve">DOR06365532</t>
  </si>
  <si>
    <t xml:space="preserve">DOR06365143</t>
  </si>
  <si>
    <t xml:space="preserve">Toner trocado omografia</t>
  </si>
  <si>
    <t xml:space="preserve">Troca na Tomografia</t>
  </si>
  <si>
    <t xml:space="preserve">DOR06361494</t>
  </si>
  <si>
    <t xml:space="preserve">DOR06360604</t>
  </si>
  <si>
    <t xml:space="preserve">DOR06358958</t>
  </si>
  <si>
    <t xml:space="preserve">DOR06358160</t>
  </si>
  <si>
    <t xml:space="preserve">DOR06358309</t>
  </si>
  <si>
    <t xml:space="preserve">DOR06346687</t>
  </si>
  <si>
    <t xml:space="preserve">DOR06345841</t>
  </si>
  <si>
    <t xml:space="preserve">DOR06349198</t>
  </si>
  <si>
    <t xml:space="preserve">DOR06348785</t>
  </si>
  <si>
    <t xml:space="preserve">DOR06345848</t>
  </si>
  <si>
    <t xml:space="preserve">DOR06345896</t>
  </si>
  <si>
    <t xml:space="preserve">DOR06346138</t>
  </si>
  <si>
    <t xml:space="preserve">DOR06345504</t>
  </si>
  <si>
    <t xml:space="preserve">DOR06341463</t>
  </si>
  <si>
    <t xml:space="preserve">DOR06341588</t>
  </si>
  <si>
    <t xml:space="preserve">DOR06337561</t>
  </si>
  <si>
    <t xml:space="preserve">DOR06337644</t>
  </si>
  <si>
    <t xml:space="preserve">DOR06332572</t>
  </si>
  <si>
    <t xml:space="preserve">DOR06330817</t>
  </si>
  <si>
    <t xml:space="preserve">DOR06324656</t>
  </si>
  <si>
    <t xml:space="preserve">	
DOR06322223- Toner com defeito.</t>
  </si>
  <si>
    <t xml:space="preserve">DOR06321831</t>
  </si>
  <si>
    <t xml:space="preserve">DOR06321850</t>
  </si>
  <si>
    <t xml:space="preserve">DOR06318106</t>
  </si>
  <si>
    <t xml:space="preserve">DOR06305988</t>
  </si>
  <si>
    <t xml:space="preserve">DOR06310679</t>
  </si>
  <si>
    <t xml:space="preserve">DOR06298916 - Toner com defeito. </t>
  </si>
  <si>
    <t xml:space="preserve">DOR06298891</t>
  </si>
  <si>
    <t xml:space="preserve">DOR06298631</t>
  </si>
  <si>
    <t xml:space="preserve">DOR06298606</t>
  </si>
  <si>
    <t xml:space="preserve">DOR06298473</t>
  </si>
  <si>
    <t xml:space="preserve">DOR06286381</t>
  </si>
  <si>
    <t xml:space="preserve">DOR06282745</t>
  </si>
  <si>
    <t xml:space="preserve">	
DOR06282546</t>
  </si>
  <si>
    <t xml:space="preserve">TRANSFERENCIA</t>
  </si>
  <si>
    <t xml:space="preserve">Enviado ao PG12.</t>
  </si>
  <si>
    <t xml:space="preserve">DOR06277730</t>
  </si>
  <si>
    <t xml:space="preserve">DOR06277348</t>
  </si>
  <si>
    <t xml:space="preserve">DOR06277390</t>
  </si>
  <si>
    <t xml:space="preserve">DOR06277202</t>
  </si>
  <si>
    <t xml:space="preserve">DOR06273103</t>
  </si>
  <si>
    <t xml:space="preserve">DOR06272388</t>
  </si>
  <si>
    <t xml:space="preserve">DOR06272172</t>
  </si>
  <si>
    <t xml:space="preserve">DOR06264140</t>
  </si>
  <si>
    <t xml:space="preserve">DOR06263328</t>
  </si>
  <si>
    <t xml:space="preserve">DOR06261362</t>
  </si>
  <si>
    <t xml:space="preserve">DOR06253728</t>
  </si>
  <si>
    <t xml:space="preserve">Ip 104/117/119</t>
  </si>
  <si>
    <t xml:space="preserve">DOR06253201</t>
  </si>
  <si>
    <t xml:space="preserve">DOR06253882</t>
  </si>
  <si>
    <t xml:space="preserve">DOR06240011</t>
  </si>
  <si>
    <t xml:space="preserve">DOR06219370</t>
  </si>
  <si>
    <t xml:space="preserve">DOR06229983</t>
  </si>
  <si>
    <t xml:space="preserve">DOR06229955</t>
  </si>
  <si>
    <t xml:space="preserve">DOR06229641</t>
  </si>
  <si>
    <t xml:space="preserve">DOR06229643</t>
  </si>
  <si>
    <t xml:space="preserve">DOR06229737</t>
  </si>
  <si>
    <t xml:space="preserve">DOR06229730</t>
  </si>
  <si>
    <t xml:space="preserve">	
DOR06223188</t>
  </si>
  <si>
    <t xml:space="preserve">DOR06221075</t>
  </si>
  <si>
    <t xml:space="preserve">DOR06221068</t>
  </si>
  <si>
    <t xml:space="preserve">DOR06220697</t>
  </si>
  <si>
    <t xml:space="preserve">DOR06216126</t>
  </si>
  <si>
    <t xml:space="preserve">DOR06211970</t>
  </si>
  <si>
    <t xml:space="preserve">DOR06207101</t>
  </si>
  <si>
    <t xml:space="preserve">DOR06206131</t>
  </si>
  <si>
    <t xml:space="preserve">DOR06206351</t>
  </si>
  <si>
    <t xml:space="preserve">DOR06201795</t>
  </si>
  <si>
    <t xml:space="preserve">DOR06201864</t>
  </si>
  <si>
    <t xml:space="preserve">DOR06196766</t>
  </si>
  <si>
    <t xml:space="preserve">DOR06193716</t>
  </si>
  <si>
    <t xml:space="preserve">DOR06191638</t>
  </si>
  <si>
    <t xml:space="preserve">DOR06187931</t>
  </si>
  <si>
    <t xml:space="preserve">DOR06187797</t>
  </si>
  <si>
    <t xml:space="preserve">DOR06187562</t>
  </si>
  <si>
    <t xml:space="preserve">DOR06184749</t>
  </si>
  <si>
    <t xml:space="preserve">DOR06183492</t>
  </si>
  <si>
    <t xml:space="preserve">DOR06182231</t>
  </si>
  <si>
    <t xml:space="preserve">DOR06176657/ DOR06176372 </t>
  </si>
  <si>
    <t xml:space="preserve">DOR06176415   DOR06176450</t>
  </si>
  <si>
    <t xml:space="preserve">DOR06173197/06172107/06172267</t>
  </si>
  <si>
    <t xml:space="preserve">DOR06169359</t>
  </si>
  <si>
    <t xml:space="preserve">DOR06167324</t>
  </si>
  <si>
    <t xml:space="preserve">DOR06161821/DOR06165655/ </t>
  </si>
  <si>
    <t xml:space="preserve">DOR06161739</t>
  </si>
  <si>
    <t xml:space="preserve">DOR06161732</t>
  </si>
  <si>
    <t xml:space="preserve">DOR06161743</t>
  </si>
  <si>
    <t xml:space="preserve">DOR06160741</t>
  </si>
  <si>
    <t xml:space="preserve">DOR06153553</t>
  </si>
  <si>
    <t xml:space="preserve">DOR06151956</t>
  </si>
  <si>
    <t xml:space="preserve">DOR06151321</t>
  </si>
  <si>
    <t xml:space="preserve">DOR06151031</t>
  </si>
  <si>
    <t xml:space="preserve">DOR06150856</t>
  </si>
  <si>
    <t xml:space="preserve">DOR06149124</t>
  </si>
  <si>
    <t xml:space="preserve">DOR06148344</t>
  </si>
  <si>
    <t xml:space="preserve">DOR06145113/06145907</t>
  </si>
  <si>
    <t xml:space="preserve">DOR06142761</t>
  </si>
  <si>
    <t xml:space="preserve">DOR06137310</t>
  </si>
  <si>
    <t xml:space="preserve">	
DOR06124755 - Somente Preto</t>
  </si>
  <si>
    <t xml:space="preserve">Toner cheio (100%) com defeito. </t>
  </si>
  <si>
    <t xml:space="preserve">DOR06134778</t>
  </si>
  <si>
    <t xml:space="preserve">	
DOR06134570</t>
  </si>
  <si>
    <t xml:space="preserve">DOR06134571</t>
  </si>
  <si>
    <t xml:space="preserve">DOR06134572</t>
  </si>
  <si>
    <t xml:space="preserve">DOR06129387</t>
  </si>
  <si>
    <t xml:space="preserve">DOR06126512</t>
  </si>
  <si>
    <t xml:space="preserve">DOR06125803</t>
  </si>
  <si>
    <t xml:space="preserve">DOR06121901</t>
  </si>
  <si>
    <t xml:space="preserve">DOR06118476</t>
  </si>
  <si>
    <t xml:space="preserve">DOR06114456</t>
  </si>
  <si>
    <t xml:space="preserve">DOR06108936</t>
  </si>
  <si>
    <t xml:space="preserve">DOR06114205</t>
  </si>
  <si>
    <t xml:space="preserve">DOR06111310</t>
  </si>
  <si>
    <t xml:space="preserve">DOR06104144</t>
  </si>
  <si>
    <t xml:space="preserve">DOR06100875</t>
  </si>
  <si>
    <t xml:space="preserve">DOR06095070</t>
  </si>
  <si>
    <t xml:space="preserve">DOR06093414</t>
  </si>
  <si>
    <t xml:space="preserve">DOR06090821/ DOR06090853</t>
  </si>
  <si>
    <t xml:space="preserve">Jessica Gerencis ENF</t>
  </si>
  <si>
    <t xml:space="preserve"> 0 1/04/2019</t>
  </si>
  <si>
    <t xml:space="preserve">DOR06083406</t>
  </si>
  <si>
    <t xml:space="preserve">DOR06088095</t>
  </si>
  <si>
    <t xml:space="preserve">DOR06084765</t>
  </si>
  <si>
    <t xml:space="preserve">DOR06081365</t>
  </si>
  <si>
    <t xml:space="preserve">DOR06080253</t>
  </si>
  <si>
    <t xml:space="preserve">DOR06079268 / DOR06079737</t>
  </si>
  <si>
    <t xml:space="preserve">DOR06074857</t>
  </si>
  <si>
    <t xml:space="preserve">DOR06068545</t>
  </si>
  <si>
    <t xml:space="preserve">DOR06068431</t>
  </si>
  <si>
    <t xml:space="preserve">DOR06059146</t>
  </si>
  <si>
    <t xml:space="preserve">DOR06056224</t>
  </si>
  <si>
    <t xml:space="preserve">DOR06053968</t>
  </si>
  <si>
    <t xml:space="preserve">DOR06049540/DOR06048517</t>
  </si>
  <si>
    <t xml:space="preserve">DOR06046131</t>
  </si>
  <si>
    <t xml:space="preserve">DOR06043210</t>
  </si>
  <si>
    <t xml:space="preserve">DOR06041478</t>
  </si>
  <si>
    <t xml:space="preserve">DOR06039083</t>
  </si>
  <si>
    <t xml:space="preserve">DOR06033967</t>
  </si>
  <si>
    <t xml:space="preserve">DOR06029904</t>
  </si>
  <si>
    <t xml:space="preserve">DOR06027168</t>
  </si>
  <si>
    <t xml:space="preserve">DOR06026671</t>
  </si>
  <si>
    <t xml:space="preserve">DOR06025164</t>
  </si>
  <si>
    <t xml:space="preserve">DOR06023787</t>
  </si>
  <si>
    <t xml:space="preserve">DOR06020957</t>
  </si>
  <si>
    <t xml:space="preserve">DOR06021554</t>
  </si>
  <si>
    <t xml:space="preserve">DOR06017236</t>
  </si>
  <si>
    <t xml:space="preserve">DOR06015343</t>
  </si>
  <si>
    <t xml:space="preserve">DOR06013332</t>
  </si>
  <si>
    <t xml:space="preserve">DOR06013161</t>
  </si>
  <si>
    <t xml:space="preserve">DOR06013399</t>
  </si>
  <si>
    <t xml:space="preserve">DOR06013484</t>
  </si>
  <si>
    <t xml:space="preserve">DOR06009417</t>
  </si>
  <si>
    <t xml:space="preserve">DOR06002269</t>
  </si>
  <si>
    <t xml:space="preserve">DOR05999689</t>
  </si>
  <si>
    <t xml:space="preserve">DOR05995826</t>
  </si>
  <si>
    <t xml:space="preserve">DOR05992034</t>
  </si>
  <si>
    <t xml:space="preserve">DOR05994407</t>
  </si>
  <si>
    <t xml:space="preserve">DOR05987306</t>
  </si>
  <si>
    <t xml:space="preserve">DOR05986316</t>
  </si>
  <si>
    <t xml:space="preserve">DOR05981342</t>
  </si>
  <si>
    <t xml:space="preserve">DOR05981648</t>
  </si>
  <si>
    <t xml:space="preserve">DOR05981115</t>
  </si>
  <si>
    <t xml:space="preserve">DOR05979315</t>
  </si>
  <si>
    <t xml:space="preserve">DOR05978468</t>
  </si>
  <si>
    <t xml:space="preserve">DOR05976793</t>
  </si>
  <si>
    <t xml:space="preserve">DOR05971011</t>
  </si>
  <si>
    <t xml:space="preserve">DOR05973586</t>
  </si>
  <si>
    <t xml:space="preserve">25?02/2019</t>
  </si>
  <si>
    <t xml:space="preserve">Plantão Copa Dor</t>
  </si>
  <si>
    <t xml:space="preserve">DOR05971279</t>
  </si>
  <si>
    <t xml:space="preserve">DOR05971283</t>
  </si>
  <si>
    <t xml:space="preserve">DOR05966383</t>
  </si>
  <si>
    <t xml:space="preserve">DOR05965842</t>
  </si>
  <si>
    <t xml:space="preserve">DOR05963978</t>
  </si>
  <si>
    <t xml:space="preserve">DOR05964493</t>
  </si>
  <si>
    <t xml:space="preserve">DOR05960695</t>
  </si>
  <si>
    <t xml:space="preserve">DOR05954049</t>
  </si>
  <si>
    <t xml:space="preserve">DOR05954018</t>
  </si>
  <si>
    <t xml:space="preserve">DOR05945107</t>
  </si>
  <si>
    <t xml:space="preserve">DOR05943886</t>
  </si>
  <si>
    <t xml:space="preserve">DOR05933396</t>
  </si>
  <si>
    <t xml:space="preserve">DOR05942877</t>
  </si>
  <si>
    <t xml:space="preserve">DOR05938906</t>
  </si>
  <si>
    <t xml:space="preserve">DOR05938064</t>
  </si>
  <si>
    <t xml:space="preserve">DOR05935460</t>
  </si>
  <si>
    <t xml:space="preserve">DOR05932197</t>
  </si>
  <si>
    <t xml:space="preserve">DOR05928828</t>
  </si>
  <si>
    <t xml:space="preserve">DOR05926884 - ECO</t>
  </si>
  <si>
    <t xml:space="preserve">DOR05925168</t>
  </si>
  <si>
    <t xml:space="preserve">DOR05923119</t>
  </si>
  <si>
    <t xml:space="preserve">DOR05922108</t>
  </si>
  <si>
    <t xml:space="preserve">DOR05921685</t>
  </si>
  <si>
    <t xml:space="preserve">DOR05920709</t>
  </si>
  <si>
    <t xml:space="preserve">DOR05920172</t>
  </si>
  <si>
    <t xml:space="preserve">DOR05916471</t>
  </si>
  <si>
    <t xml:space="preserve">Plantão do Copa Star</t>
  </si>
  <si>
    <t xml:space="preserve">DOR05902894</t>
  </si>
  <si>
    <t xml:space="preserve">DOR05902881</t>
  </si>
  <si>
    <t xml:space="preserve">DOR05906555</t>
  </si>
  <si>
    <t xml:space="preserve">DOR05900427 / Outro</t>
  </si>
  <si>
    <t xml:space="preserve">DOR05894862</t>
  </si>
  <si>
    <t xml:space="preserve">DOR05889172</t>
  </si>
  <si>
    <t xml:space="preserve">Setor Eco</t>
  </si>
  <si>
    <t xml:space="preserve">DOR05884333</t>
  </si>
  <si>
    <t xml:space="preserve">DOR05876961</t>
  </si>
  <si>
    <t xml:space="preserve">DOR05875019</t>
  </si>
  <si>
    <t xml:space="preserve">DOR05872231/DOR05871073</t>
  </si>
  <si>
    <t xml:space="preserve">DOR05865827/dor58657000/DOR005865842</t>
  </si>
  <si>
    <t xml:space="preserve">DOR05863015</t>
  </si>
  <si>
    <t xml:space="preserve">DOR05690583</t>
  </si>
  <si>
    <t xml:space="preserve">DOR05848856</t>
  </si>
  <si>
    <t xml:space="preserve">DOR05848907</t>
  </si>
  <si>
    <t xml:space="preserve">DOR05838055</t>
  </si>
  <si>
    <t xml:space="preserve">DOR05844003</t>
  </si>
  <si>
    <t xml:space="preserve">DOR05844295</t>
  </si>
  <si>
    <t xml:space="preserve">DOR05837672</t>
  </si>
  <si>
    <t xml:space="preserve">DOR05825815</t>
  </si>
  <si>
    <t xml:space="preserve">DOR05823782</t>
  </si>
  <si>
    <t xml:space="preserve">DOR05821259</t>
  </si>
  <si>
    <t xml:space="preserve">DOR05820870</t>
  </si>
  <si>
    <t xml:space="preserve">DOR05820884</t>
  </si>
  <si>
    <t xml:space="preserve">DOR05820741</t>
  </si>
  <si>
    <t xml:space="preserve">DOR05820617</t>
  </si>
  <si>
    <t xml:space="preserve">DOR05818808</t>
  </si>
  <si>
    <t xml:space="preserve">DOR05816202</t>
  </si>
  <si>
    <t xml:space="preserve">DOR05813465</t>
  </si>
  <si>
    <t xml:space="preserve">Sem chamado</t>
  </si>
  <si>
    <t xml:space="preserve">DOR05811278</t>
  </si>
  <si>
    <t xml:space="preserve">DOR05811741</t>
  </si>
  <si>
    <t xml:space="preserve">DOR05809909</t>
  </si>
  <si>
    <t xml:space="preserve">DOR05804119</t>
  </si>
  <si>
    <t xml:space="preserve">DOR05806985</t>
  </si>
  <si>
    <t xml:space="preserve">Sem chamado/Plantão</t>
  </si>
  <si>
    <t xml:space="preserve">DOR05800002</t>
  </si>
  <si>
    <t xml:space="preserve">DOR05802357</t>
  </si>
  <si>
    <t xml:space="preserve">DOR05799692</t>
  </si>
  <si>
    <t xml:space="preserve">DOR05799084</t>
  </si>
  <si>
    <t xml:space="preserve">DOR0579761</t>
  </si>
  <si>
    <t xml:space="preserve">DOR05795518</t>
  </si>
  <si>
    <t xml:space="preserve">DOR05797512</t>
  </si>
  <si>
    <t xml:space="preserve">DOR05797264</t>
  </si>
  <si>
    <t xml:space="preserve">DOR05797109</t>
  </si>
  <si>
    <t xml:space="preserve">DOR05791311</t>
  </si>
  <si>
    <t xml:space="preserve">DOR05792914</t>
  </si>
  <si>
    <t xml:space="preserve">DOR05792866</t>
  </si>
  <si>
    <t xml:space="preserve">Plantão </t>
  </si>
  <si>
    <t xml:space="preserve">DOR05789189</t>
  </si>
  <si>
    <t xml:space="preserve">DOR05788110</t>
  </si>
  <si>
    <t xml:space="preserve">DOR05787736</t>
  </si>
  <si>
    <t xml:space="preserve">DOR05787835</t>
  </si>
  <si>
    <t xml:space="preserve">DOR057684627</t>
  </si>
  <si>
    <t xml:space="preserve">DOR05783590</t>
  </si>
  <si>
    <t xml:space="preserve">Plantão</t>
  </si>
  <si>
    <t xml:space="preserve"> 
DOR05774329</t>
  </si>
  <si>
    <t xml:space="preserve"> 
DOR05775433</t>
  </si>
  <si>
    <t xml:space="preserve">DOR05772592</t>
  </si>
  <si>
    <t xml:space="preserve">DOR05766090</t>
  </si>
  <si>
    <t xml:space="preserve">
DOR05763224</t>
  </si>
  <si>
    <t xml:space="preserve">DOR05761991</t>
  </si>
  <si>
    <t xml:space="preserve">DOR05758740</t>
  </si>
  <si>
    <t xml:space="preserve">DOR05756398</t>
  </si>
  <si>
    <t xml:space="preserve">21/122018</t>
  </si>
  <si>
    <t xml:space="preserve">DOR05756497</t>
  </si>
  <si>
    <t xml:space="preserve">DOR05745481</t>
  </si>
  <si>
    <t xml:space="preserve">Dor</t>
  </si>
  <si>
    <t xml:space="preserve">DOR</t>
  </si>
  <si>
    <t xml:space="preserve">plantao</t>
  </si>
  <si>
    <t xml:space="preserve">DOR05731151</t>
  </si>
  <si>
    <t xml:space="preserve">DOR05725028</t>
  </si>
  <si>
    <t xml:space="preserve">DOR05722819</t>
  </si>
  <si>
    <t xml:space="preserve">DOR05722820</t>
  </si>
  <si>
    <t xml:space="preserve">DOR05719621</t>
  </si>
  <si>
    <t xml:space="preserve">DOR05716830</t>
  </si>
  <si>
    <t xml:space="preserve">DOR05714407</t>
  </si>
  <si>
    <t xml:space="preserve">DOR05705745</t>
  </si>
  <si>
    <t xml:space="preserve">
DOR05707031</t>
  </si>
  <si>
    <t xml:space="preserve">PLANTAO</t>
  </si>
  <si>
    <t xml:space="preserve">PLANTÃO</t>
  </si>
  <si>
    <t xml:space="preserve">Liliane Jalles - Hemodinamica</t>
  </si>
  <si>
    <t xml:space="preserve">DOR05700305</t>
  </si>
  <si>
    <t xml:space="preserve">DOR05689376</t>
  </si>
  <si>
    <t xml:space="preserve">DOR05698811</t>
  </si>
  <si>
    <t xml:space="preserve">DOR05694536 - ECO - Preto</t>
  </si>
  <si>
    <t xml:space="preserve">DOR05694931</t>
  </si>
  <si>
    <t xml:space="preserve">DOR05690840</t>
  </si>
  <si>
    <t xml:space="preserve">Sem ref de chamado</t>
  </si>
  <si>
    <t xml:space="preserve">DOR05675692</t>
  </si>
  <si>
    <t xml:space="preserve">DOR05678250</t>
  </si>
  <si>
    <t xml:space="preserve">DOR05677287</t>
  </si>
  <si>
    <t xml:space="preserve">DOR05676581</t>
  </si>
  <si>
    <t xml:space="preserve">DOR05674261 / DOR05674261</t>
  </si>
  <si>
    <t xml:space="preserve"> 
DOR05674096</t>
  </si>
  <si>
    <t xml:space="preserve">DOR05672006</t>
  </si>
  <si>
    <t xml:space="preserve">DOR05666921</t>
  </si>
  <si>
    <t xml:space="preserve">DOR05671864</t>
  </si>
  <si>
    <t xml:space="preserve">DOR05669258</t>
  </si>
  <si>
    <t xml:space="preserve">DOR05665276</t>
  </si>
  <si>
    <t xml:space="preserve">DOR05666725</t>
  </si>
  <si>
    <t xml:space="preserve">DOR05664677</t>
  </si>
  <si>
    <t xml:space="preserve">DOR05658533</t>
  </si>
  <si>
    <t xml:space="preserve"> 
DOR05657241</t>
  </si>
  <si>
    <t xml:space="preserve">DOR05623832</t>
  </si>
  <si>
    <t xml:space="preserve">DOR05657923</t>
  </si>
  <si>
    <t xml:space="preserve">DOR05654431</t>
  </si>
  <si>
    <t xml:space="preserve">DOR05652971</t>
  </si>
  <si>
    <t xml:space="preserve">Plantão do Copa Dor</t>
  </si>
  <si>
    <t xml:space="preserve">DOR05651919</t>
  </si>
  <si>
    <t xml:space="preserve">DOR05651105</t>
  </si>
  <si>
    <t xml:space="preserve">DOR05641145</t>
  </si>
  <si>
    <t xml:space="preserve">DOR05648214</t>
  </si>
  <si>
    <t xml:space="preserve">DOR05641145 tomografia</t>
  </si>
  <si>
    <t xml:space="preserve">DOR05634066 - Preto ECO</t>
  </si>
  <si>
    <t xml:space="preserve">DOR05644565</t>
  </si>
  <si>
    <t xml:space="preserve">DOR05643750</t>
  </si>
  <si>
    <t xml:space="preserve">DOR05640582</t>
  </si>
  <si>
    <t xml:space="preserve">DOR05639255</t>
  </si>
  <si>
    <t xml:space="preserve">DOR05635622</t>
  </si>
  <si>
    <t xml:space="preserve">DOR05632022</t>
  </si>
  <si>
    <t xml:space="preserve">
DOR05628612</t>
  </si>
  <si>
    <t xml:space="preserve">DOR05626070</t>
  </si>
  <si>
    <t xml:space="preserve">DOR05624208</t>
  </si>
  <si>
    <t xml:space="preserve">DOR05624083</t>
  </si>
  <si>
    <t xml:space="preserve">DOR05615930 - CC 104</t>
  </si>
  <si>
    <t xml:space="preserve">DOR05612772</t>
  </si>
  <si>
    <t xml:space="preserve"> 
DOR05612287</t>
  </si>
  <si>
    <t xml:space="preserve"> 
DOR05608729</t>
  </si>
  <si>
    <t xml:space="preserve">DOR00000</t>
  </si>
  <si>
    <t xml:space="preserve">DOR05603125</t>
  </si>
  <si>
    <t xml:space="preserve">DOR05600576</t>
  </si>
  <si>
    <t xml:space="preserve">DOR05595254</t>
  </si>
  <si>
    <t xml:space="preserve">DOR05582874</t>
  </si>
  <si>
    <t xml:space="preserve">DOR05592030</t>
  </si>
  <si>
    <t xml:space="preserve">DOR05586055 - ECO</t>
  </si>
  <si>
    <t xml:space="preserve">DOR05589822</t>
  </si>
  <si>
    <t xml:space="preserve">DOR05584819</t>
  </si>
  <si>
    <t xml:space="preserve">DOR05584670</t>
  </si>
  <si>
    <t xml:space="preserve">DOR05582409</t>
  </si>
  <si>
    <t xml:space="preserve">DOR05577884</t>
  </si>
  <si>
    <t xml:space="preserve">DOR05577804</t>
  </si>
  <si>
    <t xml:space="preserve">DOR05577038</t>
  </si>
  <si>
    <t xml:space="preserve">DOR05576927</t>
  </si>
  <si>
    <t xml:space="preserve">Plantão- Sem chamado</t>
  </si>
  <si>
    <t xml:space="preserve">DOR05575878</t>
  </si>
  <si>
    <t xml:space="preserve">DOR05573478</t>
  </si>
  <si>
    <t xml:space="preserve">DOR05570967</t>
  </si>
  <si>
    <t xml:space="preserve">DOR05570950</t>
  </si>
  <si>
    <t xml:space="preserve">DOR05565895</t>
  </si>
  <si>
    <t xml:space="preserve">DOR05563139</t>
  </si>
  <si>
    <t xml:space="preserve">DOR05558091</t>
  </si>
  <si>
    <t xml:space="preserve">DOR05548006 - Planejamento Cirurgico</t>
  </si>
  <si>
    <t xml:space="preserve">DOR05554734</t>
  </si>
  <si>
    <t xml:space="preserve">DOR05554735</t>
  </si>
  <si>
    <t xml:space="preserve">DOR05554760</t>
  </si>
  <si>
    <t xml:space="preserve">DOR05554521</t>
  </si>
  <si>
    <t xml:space="preserve">DOR05549287</t>
  </si>
  <si>
    <t xml:space="preserve">DOR05548625/DOR05548678</t>
  </si>
  <si>
    <t xml:space="preserve">DOR05548348 - Tomo</t>
  </si>
  <si>
    <t xml:space="preserve">DOR05536882</t>
  </si>
  <si>
    <t xml:space="preserve">DOR05534443</t>
  </si>
  <si>
    <t xml:space="preserve">DOR05529914</t>
  </si>
  <si>
    <t xml:space="preserve">DOR05527250</t>
  </si>
  <si>
    <t xml:space="preserve">Chamados final de semana</t>
  </si>
  <si>
    <t xml:space="preserve">DOR05521769 / DOR05520982 / DOR05521905 / Plantão</t>
  </si>
  <si>
    <t xml:space="preserve">DOR05512041</t>
  </si>
  <si>
    <t xml:space="preserve">DOR05505683</t>
  </si>
  <si>
    <t xml:space="preserve">Kit de Troca de Toner Residual - Tomografia</t>
  </si>
  <si>
    <t xml:space="preserve">DOR05505946</t>
  </si>
  <si>
    <t xml:space="preserve">DOR05503607</t>
  </si>
  <si>
    <t xml:space="preserve">DOR05503664</t>
  </si>
  <si>
    <t xml:space="preserve">DOR05499782 / DOR05500331/ DOR05500449 </t>
  </si>
  <si>
    <t xml:space="preserve">DOR05497005</t>
  </si>
  <si>
    <t xml:space="preserve">DOR05497928</t>
  </si>
  <si>
    <t xml:space="preserve">DOR05494303</t>
  </si>
  <si>
    <t xml:space="preserve">DOR05490688 / DOR05494309</t>
  </si>
  <si>
    <t xml:space="preserve">DOR05490943 / DOR05491047 - Almoxarifado</t>
  </si>
  <si>
    <t xml:space="preserve">DOR05488337</t>
  </si>
  <si>
    <t xml:space="preserve">DOR05485978</t>
  </si>
  <si>
    <t xml:space="preserve">DOR05485058</t>
  </si>
  <si>
    <t xml:space="preserve">CME 2 unidade</t>
  </si>
  <si>
    <t xml:space="preserve">DOR05477255</t>
  </si>
  <si>
    <t xml:space="preserve">DOR05473667</t>
  </si>
  <si>
    <t xml:space="preserve">DOR05474613</t>
  </si>
  <si>
    <t xml:space="preserve">DOR05472666 / Arsenal</t>
  </si>
  <si>
    <t xml:space="preserve">DOR05470348</t>
  </si>
  <si>
    <t xml:space="preserve">DOR05468881</t>
  </si>
  <si>
    <t xml:space="preserve">DOR05469002</t>
  </si>
  <si>
    <t xml:space="preserve">DOR05464328 / Farmácia</t>
  </si>
  <si>
    <t xml:space="preserve">DOR05463705 / ECO</t>
  </si>
  <si>
    <t xml:space="preserve">DOR05462941</t>
  </si>
  <si>
    <t xml:space="preserve">DOR05460411</t>
  </si>
  <si>
    <t xml:space="preserve">DOR05457005</t>
  </si>
  <si>
    <t xml:space="preserve">DOR05455929 / DOR05456139</t>
  </si>
  <si>
    <t xml:space="preserve">DOR05455384 / DOR05453636</t>
  </si>
  <si>
    <t xml:space="preserve">DOR05450774</t>
  </si>
  <si>
    <t xml:space="preserve">DOR05444865</t>
  </si>
  <si>
    <t xml:space="preserve">DOR05444665</t>
  </si>
  <si>
    <t xml:space="preserve">DOR05440748</t>
  </si>
  <si>
    <t xml:space="preserve">DOR05434708</t>
  </si>
  <si>
    <t xml:space="preserve">DOR05434757</t>
  </si>
  <si>
    <t xml:space="preserve">DOR05422347</t>
  </si>
  <si>
    <t xml:space="preserve">DOR05420977 - 4 And A</t>
  </si>
  <si>
    <t xml:space="preserve">DOR05419988 - Tomo</t>
  </si>
  <si>
    <t xml:space="preserve">DOR05419195</t>
  </si>
  <si>
    <t xml:space="preserve">DOR05417065</t>
  </si>
  <si>
    <t xml:space="preserve">DOR05416614</t>
  </si>
  <si>
    <t xml:space="preserve">DOR05414522</t>
  </si>
  <si>
    <t xml:space="preserve">DOR05414952 </t>
  </si>
  <si>
    <t xml:space="preserve">DOR05413474</t>
  </si>
  <si>
    <t xml:space="preserve">DOR05413373</t>
  </si>
  <si>
    <t xml:space="preserve">DOR05410150</t>
  </si>
  <si>
    <t xml:space="preserve">DOR05403538</t>
  </si>
  <si>
    <t xml:space="preserve">DOR05403127</t>
  </si>
  <si>
    <t xml:space="preserve">DOR05402854</t>
  </si>
  <si>
    <t xml:space="preserve">DOR05399013</t>
  </si>
  <si>
    <t xml:space="preserve">DOR05398365</t>
  </si>
  <si>
    <t xml:space="preserve">DOR05398629</t>
  </si>
  <si>
    <t xml:space="preserve">DOR05397136</t>
  </si>
  <si>
    <t xml:space="preserve">DOR05392352</t>
  </si>
  <si>
    <t xml:space="preserve">DOR05379897</t>
  </si>
  <si>
    <t xml:space="preserve">DOR05382463</t>
  </si>
  <si>
    <t xml:space="preserve">sem chamado.</t>
  </si>
  <si>
    <t xml:space="preserve"> 
DOR05380320</t>
  </si>
  <si>
    <t xml:space="preserve">DOR05373161</t>
  </si>
  <si>
    <t xml:space="preserve">DOR05372493</t>
  </si>
  <si>
    <t xml:space="preserve">DOR05373480</t>
  </si>
  <si>
    <t xml:space="preserve">DOR05370075</t>
  </si>
  <si>
    <t xml:space="preserve">DOR05362655</t>
  </si>
  <si>
    <t xml:space="preserve">DOR05360706</t>
  </si>
  <si>
    <t xml:space="preserve">DOR5361923</t>
  </si>
  <si>
    <t xml:space="preserve">DOR05360991</t>
  </si>
  <si>
    <t xml:space="preserve">DOR05354032</t>
  </si>
  <si>
    <t xml:space="preserve">DOR05356381</t>
  </si>
  <si>
    <t xml:space="preserve">DOR05342935</t>
  </si>
  <si>
    <t xml:space="preserve">Sem referência</t>
  </si>
  <si>
    <t xml:space="preserve">DOR05340750</t>
  </si>
  <si>
    <t xml:space="preserve">DOR05336737</t>
  </si>
  <si>
    <t xml:space="preserve">DOR05336609</t>
  </si>
  <si>
    <t xml:space="preserve">DOR05336693</t>
  </si>
  <si>
    <t xml:space="preserve">DOR05337118</t>
  </si>
  <si>
    <t xml:space="preserve">DOR05339963 - Cardiointensiva</t>
  </si>
  <si>
    <t xml:space="preserve">DOR05335322</t>
  </si>
  <si>
    <t xml:space="preserve">DOR05337292</t>
  </si>
  <si>
    <t xml:space="preserve">DOR05333118 - Neuro</t>
  </si>
  <si>
    <t xml:space="preserve">DOR05331906</t>
  </si>
  <si>
    <t xml:space="preserve">DOR05326045</t>
  </si>
  <si>
    <t xml:space="preserve">DOR05322845</t>
  </si>
  <si>
    <t xml:space="preserve">DOR05320472 - Faturamento</t>
  </si>
  <si>
    <t xml:space="preserve">DOR05320285 - Radiologia Ip 10.20.3.135</t>
  </si>
  <si>
    <t xml:space="preserve">DOR05314828/ DOR05319121</t>
  </si>
  <si>
    <t xml:space="preserve">DOR05317300</t>
  </si>
  <si>
    <t xml:space="preserve">DOR05315558</t>
  </si>
  <si>
    <t xml:space="preserve">DOR05309363</t>
  </si>
  <si>
    <t xml:space="preserve">DOR05309231</t>
  </si>
  <si>
    <t xml:space="preserve">DOR05309433</t>
  </si>
  <si>
    <t xml:space="preserve">DOR05307959</t>
  </si>
  <si>
    <t xml:space="preserve">DOR05307100</t>
  </si>
  <si>
    <t xml:space="preserve">DOR05305540</t>
  </si>
  <si>
    <t xml:space="preserve">Recpção Social - 10.20.3.81</t>
  </si>
  <si>
    <t xml:space="preserve">DOR05297417</t>
  </si>
  <si>
    <t xml:space="preserve">DOR05296672</t>
  </si>
  <si>
    <t xml:space="preserve">DOR05287189</t>
  </si>
  <si>
    <t xml:space="preserve">DOR05293918 / Tomografia</t>
  </si>
  <si>
    <t xml:space="preserve">DOR05291762</t>
  </si>
  <si>
    <t xml:space="preserve">DOR05291762 </t>
  </si>
  <si>
    <t xml:space="preserve">DOR05291483 / Ip 10.20.3.92 - Cgefia Emergencia</t>
  </si>
  <si>
    <t xml:space="preserve"> 
DOR05287603</t>
  </si>
  <si>
    <t xml:space="preserve">DOR05283370</t>
  </si>
  <si>
    <t xml:space="preserve">DOR05284081</t>
  </si>
  <si>
    <t xml:space="preserve">DOR05283585</t>
  </si>
  <si>
    <t xml:space="preserve">DOR05280660</t>
  </si>
  <si>
    <t xml:space="preserve">DOR05275636</t>
  </si>
  <si>
    <t xml:space="preserve">DOR05272743</t>
  </si>
  <si>
    <t xml:space="preserve">DOR05268671</t>
  </si>
  <si>
    <t xml:space="preserve">DOR05263283</t>
  </si>
  <si>
    <t xml:space="preserve">DOR05259825</t>
  </si>
  <si>
    <t xml:space="preserve">DOR05254087, DOR05254181, DOR05254183</t>
  </si>
  <si>
    <t xml:space="preserve">DOR05254475</t>
  </si>
  <si>
    <t xml:space="preserve">DOR05252439</t>
  </si>
  <si>
    <t xml:space="preserve">DOR05244949</t>
  </si>
  <si>
    <t xml:space="preserve">DOR05243864</t>
  </si>
  <si>
    <t xml:space="preserve">DOR05236464/DOR05238132</t>
  </si>
  <si>
    <t xml:space="preserve">DOR05233277</t>
  </si>
  <si>
    <t xml:space="preserve">DOR05228521</t>
  </si>
  <si>
    <t xml:space="preserve">DOR05226785</t>
  </si>
  <si>
    <t xml:space="preserve">DOR05221856</t>
  </si>
  <si>
    <t xml:space="preserve">DOR05220991</t>
  </si>
  <si>
    <t xml:space="preserve">DOR05219043 - ECO</t>
  </si>
  <si>
    <t xml:space="preserve">DOR05218877 - Tomo</t>
  </si>
  <si>
    <t xml:space="preserve">DOR05215549</t>
  </si>
  <si>
    <t xml:space="preserve">DOR05211819/DOR05213974/DOR05211359</t>
  </si>
  <si>
    <t xml:space="preserve">DOR05203040</t>
  </si>
  <si>
    <t xml:space="preserve">DOR05202976</t>
  </si>
  <si>
    <t xml:space="preserve">3 Toners s/chamado</t>
  </si>
  <si>
    <t xml:space="preserve">DOR05191468</t>
  </si>
  <si>
    <t xml:space="preserve">DOR05189710</t>
  </si>
  <si>
    <t xml:space="preserve">DOR05187267</t>
  </si>
  <si>
    <t xml:space="preserve">DOR05184348</t>
  </si>
  <si>
    <t xml:space="preserve">DOR05182439</t>
  </si>
  <si>
    <t xml:space="preserve">DOR5181500</t>
  </si>
  <si>
    <t xml:space="preserve">DOR05180170 - Tomografia</t>
  </si>
  <si>
    <t xml:space="preserve"> 
DOR05175981</t>
  </si>
  <si>
    <t xml:space="preserve">DOR05170996</t>
  </si>
  <si>
    <t xml:space="preserve">DOR05170183 - Tomografia</t>
  </si>
  <si>
    <t xml:space="preserve">DOR05167830</t>
  </si>
  <si>
    <t xml:space="preserve">DOR05164833/ DOR05165197</t>
  </si>
  <si>
    <t xml:space="preserve">DOR05157784</t>
  </si>
  <si>
    <t xml:space="preserve">DOR05155241 / ECO - Cyano</t>
  </si>
  <si>
    <t xml:space="preserve">DOR05155241 / ECO - Magenta</t>
  </si>
  <si>
    <t xml:space="preserve">DOR05150533/DOR05150208</t>
  </si>
  <si>
    <t xml:space="preserve">DOR05149253</t>
  </si>
  <si>
    <t xml:space="preserve">DOR05140440</t>
  </si>
  <si>
    <t xml:space="preserve">DOR05137597</t>
  </si>
  <si>
    <t xml:space="preserve">DOR05131451</t>
  </si>
  <si>
    <t xml:space="preserve">DOR05119490</t>
  </si>
  <si>
    <t xml:space="preserve">DOR05119183</t>
  </si>
  <si>
    <t xml:space="preserve">DOR05116540</t>
  </si>
  <si>
    <t xml:space="preserve">DOR05114692</t>
  </si>
  <si>
    <t xml:space="preserve">DOR05114240</t>
  </si>
  <si>
    <t xml:space="preserve">DOR05114255</t>
  </si>
  <si>
    <t xml:space="preserve">DOR05109662</t>
  </si>
  <si>
    <t xml:space="preserve">DOR05109269</t>
  </si>
  <si>
    <t xml:space="preserve">DOR05106205</t>
  </si>
  <si>
    <t xml:space="preserve">DOR05103468</t>
  </si>
  <si>
    <t xml:space="preserve">DOR05097920/DOR05098793</t>
  </si>
  <si>
    <t xml:space="preserve">DOR05097927</t>
  </si>
  <si>
    <t xml:space="preserve">DOR05097876</t>
  </si>
  <si>
    <t xml:space="preserve">DOR05094646</t>
  </si>
  <si>
    <t xml:space="preserve">DOR05087251</t>
  </si>
  <si>
    <t xml:space="preserve">DOR05076249</t>
  </si>
  <si>
    <t xml:space="preserve">DOR05075068</t>
  </si>
  <si>
    <t xml:space="preserve">DOR05062450 / DOR05066820</t>
  </si>
  <si>
    <t xml:space="preserve">DOR05071488</t>
  </si>
  <si>
    <t xml:space="preserve">DOR05070688</t>
  </si>
  <si>
    <t xml:space="preserve">DOR05064223 - Banco de Sague </t>
  </si>
  <si>
    <t xml:space="preserve">DOR05061663</t>
  </si>
  <si>
    <t xml:space="preserve">DOR05058329</t>
  </si>
  <si>
    <t xml:space="preserve">DOR05054828</t>
  </si>
  <si>
    <t xml:space="preserve">DOR05056792 + plantao</t>
  </si>
  <si>
    <t xml:space="preserve"> 
DOR05054748</t>
  </si>
  <si>
    <t xml:space="preserve">XEROX 750 MAGENTA</t>
  </si>
  <si>
    <t xml:space="preserve"> 
DOR05054723</t>
  </si>
  <si>
    <t xml:space="preserve">DOR05050594</t>
  </si>
  <si>
    <t xml:space="preserve">DOR05049429</t>
  </si>
  <si>
    <t xml:space="preserve">DOR05046254 - Edu Continuada.</t>
  </si>
  <si>
    <t xml:space="preserve">DOR05044950</t>
  </si>
  <si>
    <t xml:space="preserve">DOR05044218/DOR05045093</t>
  </si>
  <si>
    <t xml:space="preserve">DOR05036764</t>
  </si>
  <si>
    <t xml:space="preserve"> 
DOR05028402</t>
  </si>
  <si>
    <t xml:space="preserve">DOR05028080</t>
  </si>
  <si>
    <t xml:space="preserve">DOR05025847</t>
  </si>
  <si>
    <t xml:space="preserve">DOR05017570</t>
  </si>
  <si>
    <t xml:space="preserve">DOR05016143</t>
  </si>
  <si>
    <t xml:space="preserve">DOR05016003</t>
  </si>
  <si>
    <t xml:space="preserve">DOR05015070</t>
  </si>
  <si>
    <t xml:space="preserve">DOR05013621</t>
  </si>
  <si>
    <t xml:space="preserve">XEROX 750 PRETO</t>
  </si>
  <si>
    <t xml:space="preserve">DOR05013264 - ECO</t>
  </si>
  <si>
    <t xml:space="preserve">DOR05009010</t>
  </si>
  <si>
    <t xml:space="preserve">DOR05007957</t>
  </si>
  <si>
    <t xml:space="preserve">DOR05003018</t>
  </si>
  <si>
    <t xml:space="preserve">DOR04998100</t>
  </si>
  <si>
    <t xml:space="preserve">Sem chamados</t>
  </si>
  <si>
    <t xml:space="preserve">DOR04993646</t>
  </si>
  <si>
    <t xml:space="preserve">DOR04986325</t>
  </si>
  <si>
    <t xml:space="preserve">DOR04983745</t>
  </si>
  <si>
    <t xml:space="preserve">DOR04981131</t>
  </si>
  <si>
    <t xml:space="preserve">Faturamento e 2 Posto B</t>
  </si>
  <si>
    <t xml:space="preserve">DOR04959221</t>
  </si>
  <si>
    <t xml:space="preserve">DOR04958568</t>
  </si>
  <si>
    <t xml:space="preserve">DOR04955098 - Nutrição</t>
  </si>
  <si>
    <t xml:space="preserve">DOR04956584</t>
  </si>
  <si>
    <t xml:space="preserve">DOR04955235 </t>
  </si>
  <si>
    <t xml:space="preserve">DOR04953468</t>
  </si>
  <si>
    <t xml:space="preserve">DOR04938436 - Recepçao de Imagem</t>
  </si>
  <si>
    <t xml:space="preserve">DOR04948957</t>
  </si>
  <si>
    <t xml:space="preserve">DOR04949117 - Amarelo</t>
  </si>
  <si>
    <t xml:space="preserve">DOR04949117   Magenta</t>
  </si>
  <si>
    <t xml:space="preserve">DOR04949117 - Cyano</t>
  </si>
  <si>
    <t xml:space="preserve">DOR04940430 - TOM</t>
  </si>
  <si>
    <t xml:space="preserve">DOR04941136</t>
  </si>
  <si>
    <t xml:space="preserve">DOR04943432</t>
  </si>
  <si>
    <t xml:space="preserve">DOR04931766</t>
  </si>
  <si>
    <t xml:space="preserve">DOR04929687</t>
  </si>
  <si>
    <t xml:space="preserve">DOR04926399</t>
  </si>
  <si>
    <t xml:space="preserve">DOR04922061 / Eco</t>
  </si>
  <si>
    <t xml:space="preserve">DOR04905867</t>
  </si>
  <si>
    <t xml:space="preserve">DOR04903155</t>
  </si>
  <si>
    <t xml:space="preserve">DOR04892707</t>
  </si>
  <si>
    <t xml:space="preserve">DOR04892308</t>
  </si>
  <si>
    <t xml:space="preserve">DOR04888732</t>
  </si>
  <si>
    <t xml:space="preserve">Chamados referentes ao Plantão - Sab/Dom</t>
  </si>
  <si>
    <t xml:space="preserve">DOR04885239</t>
  </si>
  <si>
    <t xml:space="preserve">DOR04883833</t>
  </si>
  <si>
    <t xml:space="preserve">DOR04880540</t>
  </si>
  <si>
    <t xml:space="preserve">DOR04866583</t>
  </si>
  <si>
    <t xml:space="preserve">XEROX 750 CIANO</t>
  </si>
  <si>
    <t xml:space="preserve">DOR04874271 / DOR04874251</t>
  </si>
  <si>
    <t xml:space="preserve">DOR04867382</t>
  </si>
  <si>
    <t xml:space="preserve">DOR04863677</t>
  </si>
  <si>
    <t xml:space="preserve">DOR04858243</t>
  </si>
  <si>
    <t xml:space="preserve">DOR04855013</t>
  </si>
  <si>
    <t xml:space="preserve">DOR04854173</t>
  </si>
  <si>
    <t xml:space="preserve">DOR04847717</t>
  </si>
  <si>
    <t xml:space="preserve">DOR04837092</t>
  </si>
  <si>
    <t xml:space="preserve">DOR04836491</t>
  </si>
  <si>
    <t xml:space="preserve">DOR04836347</t>
  </si>
  <si>
    <t xml:space="preserve">DOR04834463</t>
  </si>
  <si>
    <t xml:space="preserve">DOR04834095</t>
  </si>
  <si>
    <t xml:space="preserve">DOR04828841</t>
  </si>
  <si>
    <t xml:space="preserve">DOR04827894</t>
  </si>
  <si>
    <t xml:space="preserve">DOR04828464</t>
  </si>
  <si>
    <t xml:space="preserve">DOR04828048</t>
  </si>
  <si>
    <t xml:space="preserve">Chamado para atender a Recpeção Social e Posto de Emergencia</t>
  </si>
  <si>
    <t xml:space="preserve">DOR04823803</t>
  </si>
  <si>
    <t xml:space="preserve">DOR04820602</t>
  </si>
  <si>
    <t xml:space="preserve">DOR04814850</t>
  </si>
  <si>
    <t xml:space="preserve">DOR04819125</t>
  </si>
  <si>
    <t xml:space="preserve">DOR04815529</t>
  </si>
  <si>
    <t xml:space="preserve">DOR04705029</t>
  </si>
  <si>
    <t xml:space="preserve">DOR04811917</t>
  </si>
  <si>
    <t xml:space="preserve">DOR04812038</t>
  </si>
  <si>
    <t xml:space="preserve">DOR04803576</t>
  </si>
  <si>
    <t xml:space="preserve">DOR04799541</t>
  </si>
  <si>
    <t xml:space="preserve">Sem chamado Faturamendo/Emergencia</t>
  </si>
  <si>
    <t xml:space="preserve"> 
DOR04787115</t>
  </si>
  <si>
    <t xml:space="preserve">DOR04784795</t>
  </si>
  <si>
    <t xml:space="preserve">DOR04776184</t>
  </si>
  <si>
    <t xml:space="preserve"> 
DOR04769682</t>
  </si>
  <si>
    <t xml:space="preserve">DOR04773931</t>
  </si>
  <si>
    <t xml:space="preserve">DOR04772790</t>
  </si>
  <si>
    <t xml:space="preserve">Emprestimo ao DC 39 - Toner Preto Xerox Phaser</t>
  </si>
  <si>
    <t xml:space="preserve">DOR04768529</t>
  </si>
  <si>
    <t xml:space="preserve">DOR04768382</t>
  </si>
  <si>
    <t xml:space="preserve">DOR04768355</t>
  </si>
  <si>
    <t xml:space="preserve">DOR04765018</t>
  </si>
  <si>
    <t xml:space="preserve">DOR04760857/DOR04764361/DOR04764840</t>
  </si>
  <si>
    <t xml:space="preserve">DOR04757704/DOR04759250</t>
  </si>
  <si>
    <t xml:space="preserve">DOR04755492</t>
  </si>
  <si>
    <t xml:space="preserve">DOR04748617</t>
  </si>
  <si>
    <t xml:space="preserve">DOR04745723</t>
  </si>
  <si>
    <t xml:space="preserve">DOR04739362</t>
  </si>
  <si>
    <t xml:space="preserve">Troca de Tonner efetuada pelo técnico da Simpress.</t>
  </si>
  <si>
    <t xml:space="preserve">DOR04731207</t>
  </si>
  <si>
    <t xml:space="preserve">IP 10.20.3.118 - Planejamento Cir</t>
  </si>
  <si>
    <t xml:space="preserve">DOR04730621</t>
  </si>
  <si>
    <t xml:space="preserve">DOR04723374</t>
  </si>
  <si>
    <t xml:space="preserve">DOR04717975</t>
  </si>
  <si>
    <t xml:space="preserve">DOR04708137</t>
  </si>
  <si>
    <t xml:space="preserve">DOR04709320</t>
  </si>
  <si>
    <t xml:space="preserve">DOR04706370</t>
  </si>
  <si>
    <t xml:space="preserve">DOR04705230</t>
  </si>
  <si>
    <t xml:space="preserve">DOR04705381</t>
  </si>
  <si>
    <t xml:space="preserve">DOR04699261</t>
  </si>
  <si>
    <t xml:space="preserve">DOR04701041</t>
  </si>
  <si>
    <t xml:space="preserve">DOR04697278</t>
  </si>
  <si>
    <t xml:space="preserve">DOR04690563</t>
  </si>
  <si>
    <t xml:space="preserve">DOR04689804</t>
  </si>
  <si>
    <t xml:space="preserve">DOR04689137</t>
  </si>
  <si>
    <t xml:space="preserve">DOR04688935</t>
  </si>
  <si>
    <t xml:space="preserve">DOR04682036</t>
  </si>
  <si>
    <t xml:space="preserve">DOR04682042</t>
  </si>
  <si>
    <t xml:space="preserve">DOR04682148</t>
  </si>
  <si>
    <t xml:space="preserve">DOR04682458</t>
  </si>
  <si>
    <t xml:space="preserve">DOR04685371</t>
  </si>
  <si>
    <t xml:space="preserve">DOR04681785</t>
  </si>
  <si>
    <t xml:space="preserve">DOR04681429</t>
  </si>
  <si>
    <t xml:space="preserve">DOR04680642</t>
  </si>
  <si>
    <t xml:space="preserve">DOR04680143</t>
  </si>
  <si>
    <t xml:space="preserve">DOR04671852</t>
  </si>
  <si>
    <t xml:space="preserve">Bobina para a Galeria </t>
  </si>
  <si>
    <t xml:space="preserve">DOR04653487</t>
  </si>
  <si>
    <t xml:space="preserve">DOR04650745 / Eco</t>
  </si>
  <si>
    <t xml:space="preserve">DOR04649688</t>
  </si>
  <si>
    <t xml:space="preserve">DOR04646520</t>
  </si>
  <si>
    <t xml:space="preserve">Chamado de Origem - DOR04642551- L 206</t>
  </si>
  <si>
    <t xml:space="preserve">DOR04642999 / DOR04643581 / DOR04644037</t>
  </si>
  <si>
    <t xml:space="preserve">DOR04641873</t>
  </si>
  <si>
    <t xml:space="preserve">DOR04641464</t>
  </si>
  <si>
    <t xml:space="preserve">Não Registrado ECO</t>
  </si>
  <si>
    <t xml:space="preserve">Não Registrado - Dr Paulo</t>
  </si>
  <si>
    <t xml:space="preserve">DOR04632401</t>
  </si>
  <si>
    <t xml:space="preserve">DOR04628891</t>
  </si>
  <si>
    <t xml:space="preserve">DOR04615799</t>
  </si>
  <si>
    <t xml:space="preserve">DOR04613423</t>
  </si>
  <si>
    <t xml:space="preserve">DOR04624243</t>
  </si>
  <si>
    <t xml:space="preserve">araujo*2017</t>
  </si>
  <si>
    <t xml:space="preserve">DOR04618628</t>
  </si>
  <si>
    <t xml:space="preserve">DOR046121209</t>
  </si>
  <si>
    <t xml:space="preserve">Bobina para o Relogio 04</t>
  </si>
  <si>
    <t xml:space="preserve">DOR04605079</t>
  </si>
  <si>
    <t xml:space="preserve">DOR04599890</t>
  </si>
  <si>
    <t xml:space="preserve">eco</t>
  </si>
  <si>
    <t xml:space="preserve">sala 99</t>
  </si>
  <si>
    <t xml:space="preserve">Sala 99</t>
  </si>
  <si>
    <t xml:space="preserve">Transferencia para sala 99</t>
  </si>
  <si>
    <t xml:space="preserve">DOR04592536 / DOR04593863</t>
  </si>
  <si>
    <t xml:space="preserve">DOR04589486</t>
  </si>
  <si>
    <t xml:space="preserve">DOR04583828</t>
  </si>
  <si>
    <t xml:space="preserve">DOR04572749</t>
  </si>
  <si>
    <t xml:space="preserve">DOR04571867</t>
  </si>
  <si>
    <t xml:space="preserve">DOR04561170</t>
  </si>
  <si>
    <t xml:space="preserve">DOR04566637</t>
  </si>
  <si>
    <t xml:space="preserve">Sem registro de Chamado</t>
  </si>
  <si>
    <t xml:space="preserve">DOR04556074</t>
  </si>
  <si>
    <t xml:space="preserve">DOR04554966</t>
  </si>
  <si>
    <t xml:space="preserve">DOR04554345</t>
  </si>
  <si>
    <t xml:space="preserve">DOR04551854</t>
  </si>
  <si>
    <t xml:space="preserve">DOR04549384</t>
  </si>
  <si>
    <t xml:space="preserve">DOR04541319</t>
  </si>
  <si>
    <t xml:space="preserve">DOR04543967</t>
  </si>
  <si>
    <t xml:space="preserve">DOR04543728</t>
  </si>
  <si>
    <t xml:space="preserve">DOR04541327</t>
  </si>
  <si>
    <t xml:space="preserve">DOR04530774</t>
  </si>
  <si>
    <t xml:space="preserve">DOR04528608</t>
  </si>
  <si>
    <t xml:space="preserve">DOR04528366</t>
  </si>
  <si>
    <t xml:space="preserve">Para atender Relogios 4 e 5 Andar</t>
  </si>
  <si>
    <t xml:space="preserve">DOR04527902</t>
  </si>
  <si>
    <t xml:space="preserve">DOR04523987</t>
  </si>
  <si>
    <t xml:space="preserve">DOR04518219</t>
  </si>
  <si>
    <t xml:space="preserve">DOR04511359</t>
  </si>
  <si>
    <t xml:space="preserve">Nutrição ADM</t>
  </si>
  <si>
    <t xml:space="preserve">DOR04505368</t>
  </si>
  <si>
    <t xml:space="preserve">DOR04504907</t>
  </si>
  <si>
    <t xml:space="preserve">DOR04499055</t>
  </si>
  <si>
    <t xml:space="preserve">DOR04495439 / Preto /Tomo</t>
  </si>
  <si>
    <t xml:space="preserve">DOR04486148</t>
  </si>
  <si>
    <t xml:space="preserve">DOR04486578</t>
  </si>
  <si>
    <t xml:space="preserve"> 
DOR04487132</t>
  </si>
  <si>
    <t xml:space="preserve">DOR04486309</t>
  </si>
  <si>
    <t xml:space="preserve">DOR04486886</t>
  </si>
  <si>
    <t xml:space="preserve">DOR04479965</t>
  </si>
  <si>
    <t xml:space="preserve">emp copa dor leandro santos</t>
  </si>
  <si>
    <t xml:space="preserve">DOR04468851 - L 338</t>
  </si>
  <si>
    <t xml:space="preserve">DOR04466437</t>
  </si>
  <si>
    <t xml:space="preserve">DOR04466241</t>
  </si>
  <si>
    <t xml:space="preserve">DOR04464232</t>
  </si>
  <si>
    <t xml:space="preserve">DOR04463016</t>
  </si>
  <si>
    <t xml:space="preserve">DOR04461867 - L 334</t>
  </si>
  <si>
    <t xml:space="preserve">DOR04455081</t>
  </si>
  <si>
    <t xml:space="preserve">Sem Chamado</t>
  </si>
  <si>
    <t xml:space="preserve">DOR04453521</t>
  </si>
  <si>
    <t xml:space="preserve">DOR04448282</t>
  </si>
  <si>
    <t xml:space="preserve">DOR04443132</t>
  </si>
  <si>
    <t xml:space="preserve">DOR04441548</t>
  </si>
  <si>
    <t xml:space="preserve">DOR04442429</t>
  </si>
  <si>
    <t xml:space="preserve">DOR04445096</t>
  </si>
  <si>
    <t xml:space="preserve">DOR04433947</t>
  </si>
  <si>
    <t xml:space="preserve">DOR04433152</t>
  </si>
  <si>
    <t xml:space="preserve">sem chamado</t>
  </si>
  <si>
    <t xml:space="preserve">DOR04427306</t>
  </si>
  <si>
    <t xml:space="preserve">DOR04424303 - L 306</t>
  </si>
  <si>
    <t xml:space="preserve">DOR04426613</t>
  </si>
  <si>
    <t xml:space="preserve">DOR04425679</t>
  </si>
  <si>
    <t xml:space="preserve">DOR04424333</t>
  </si>
  <si>
    <t xml:space="preserve">DOR04424778</t>
  </si>
  <si>
    <t xml:space="preserve">DOR04422966</t>
  </si>
  <si>
    <t xml:space="preserve">DOR04421656</t>
  </si>
  <si>
    <t xml:space="preserve">DOR04408787</t>
  </si>
  <si>
    <t xml:space="preserve">DOR04416417</t>
  </si>
  <si>
    <t xml:space="preserve">DOR04402515</t>
  </si>
  <si>
    <t xml:space="preserve">DOR04400711</t>
  </si>
  <si>
    <t xml:space="preserve">Utilizado no 4º Andar</t>
  </si>
  <si>
    <t xml:space="preserve">Uso pelo Bernadrdo.</t>
  </si>
  <si>
    <t xml:space="preserve">Clinica São Vicente</t>
  </si>
  <si>
    <t xml:space="preserve">DOR04397029</t>
  </si>
  <si>
    <t xml:space="preserve">DOR04388136</t>
  </si>
  <si>
    <t xml:space="preserve">DOR04388430</t>
  </si>
  <si>
    <t xml:space="preserve">DOR04382632</t>
  </si>
  <si>
    <t xml:space="preserve">DOR04361307</t>
  </si>
  <si>
    <t xml:space="preserve">Marcus efetuou a troca, não tenho o chamado.</t>
  </si>
  <si>
    <t xml:space="preserve">DOR04375972</t>
  </si>
  <si>
    <t xml:space="preserve">DOR04375229 / Tomografia</t>
  </si>
  <si>
    <t xml:space="preserve">DOR04374757</t>
  </si>
  <si>
    <t xml:space="preserve">DOR04370143</t>
  </si>
  <si>
    <t xml:space="preserve">DOR04365032</t>
  </si>
  <si>
    <t xml:space="preserve">DOR04363349</t>
  </si>
  <si>
    <t xml:space="preserve">DOR04362760</t>
  </si>
  <si>
    <t xml:space="preserve">DOR04357043</t>
  </si>
  <si>
    <t xml:space="preserve">DOR04351964</t>
  </si>
  <si>
    <t xml:space="preserve">DOR04348705</t>
  </si>
  <si>
    <t xml:space="preserve">DOR04348002</t>
  </si>
  <si>
    <t xml:space="preserve">DOR04344490</t>
  </si>
  <si>
    <t xml:space="preserve">DOR04338700</t>
  </si>
  <si>
    <t xml:space="preserve">inauguração 1 andar</t>
  </si>
  <si>
    <t xml:space="preserve">Centro de estudo</t>
  </si>
  <si>
    <t xml:space="preserve">inauguração do 1 andar 4unidades e uma unidade para o Laboratorio </t>
  </si>
  <si>
    <t xml:space="preserve">Inauguração 1 andar </t>
  </si>
  <si>
    <t xml:space="preserve">inauguração 1 e 2  andar</t>
  </si>
  <si>
    <t xml:space="preserve">1 Andar inauguração</t>
  </si>
  <si>
    <t xml:space="preserve">carrinhos do 4 e 5 andar</t>
  </si>
  <si>
    <t xml:space="preserve">DOR04326649</t>
  </si>
  <si>
    <t xml:space="preserve">DOR04326348</t>
  </si>
  <si>
    <t xml:space="preserve">consumo 1 andar</t>
  </si>
  <si>
    <t xml:space="preserve">DOR04304979</t>
  </si>
  <si>
    <t xml:space="preserve">DOR04298802</t>
  </si>
  <si>
    <t xml:space="preserve">DOR04297408</t>
  </si>
  <si>
    <t xml:space="preserve">DOR04297369</t>
  </si>
  <si>
    <t xml:space="preserve">sem chamado - ECO</t>
  </si>
  <si>
    <t xml:space="preserve">DOR04291521</t>
  </si>
  <si>
    <t xml:space="preserve">DOR04291272</t>
  </si>
  <si>
    <t xml:space="preserve">DOR04286018</t>
  </si>
  <si>
    <t xml:space="preserve">DOR04287608</t>
  </si>
  <si>
    <t xml:space="preserve">DOR04285871</t>
  </si>
  <si>
    <t xml:space="preserve"> 
DOR04278898</t>
  </si>
  <si>
    <t xml:space="preserve">DOR04270127</t>
  </si>
  <si>
    <t xml:space="preserve"> 
DOR04264254</t>
  </si>
  <si>
    <t xml:space="preserve">DOR04264441</t>
  </si>
  <si>
    <t xml:space="preserve">4 andar lado b</t>
  </si>
  <si>
    <t xml:space="preserve">DOR04256728</t>
  </si>
  <si>
    <t xml:space="preserve">DOR04244037</t>
  </si>
  <si>
    <t xml:space="preserve">DOR04243595</t>
  </si>
  <si>
    <t xml:space="preserve">DOR04237753</t>
  </si>
  <si>
    <t xml:space="preserve">DOR04236507</t>
  </si>
  <si>
    <t xml:space="preserve">DOR042311147</t>
  </si>
  <si>
    <t xml:space="preserve">DOR04224247</t>
  </si>
  <si>
    <t xml:space="preserve">DOR04224131</t>
  </si>
  <si>
    <t xml:space="preserve">DOR04223669</t>
  </si>
  <si>
    <t xml:space="preserve">DOR04218154</t>
  </si>
  <si>
    <t xml:space="preserve">DOR04221595</t>
  </si>
  <si>
    <t xml:space="preserve">DOR04218885</t>
  </si>
  <si>
    <t xml:space="preserve">DOR04217974</t>
  </si>
  <si>
    <t xml:space="preserve">DOR04216359</t>
  </si>
  <si>
    <t xml:space="preserve">DOR04209483</t>
  </si>
  <si>
    <t xml:space="preserve">DOR04202775</t>
  </si>
  <si>
    <t xml:space="preserve">DOR04191171</t>
  </si>
  <si>
    <t xml:space="preserve">DOR4191172</t>
  </si>
  <si>
    <t xml:space="preserve">     22/11]2017</t>
  </si>
  <si>
    <t xml:space="preserve">Bobina Relogio 4Andar</t>
  </si>
  <si>
    <t xml:space="preserve">DOR04188583</t>
  </si>
  <si>
    <t xml:space="preserve">DOR04183658</t>
  </si>
  <si>
    <t xml:space="preserve">DOR04181612</t>
  </si>
  <si>
    <t xml:space="preserve">     21/11]2017</t>
  </si>
  <si>
    <t xml:space="preserve">DOR04180722</t>
  </si>
  <si>
    <t xml:space="preserve">DOR04176147</t>
  </si>
  <si>
    <t xml:space="preserve">DOR04168851</t>
  </si>
  <si>
    <t xml:space="preserve">DOR04168602</t>
  </si>
  <si>
    <t xml:space="preserve">DOR04167825</t>
  </si>
  <si>
    <t xml:space="preserve">Toner Preto / 10.20.3.159 - ECO</t>
  </si>
  <si>
    <t xml:space="preserve">     13/11/2017</t>
  </si>
  <si>
    <t xml:space="preserve">DOR04150213</t>
  </si>
  <si>
    <t xml:space="preserve">DOR04148882/DOR04148812/DOR04148583</t>
  </si>
  <si>
    <t xml:space="preserve">DOR04138890</t>
  </si>
  <si>
    <t xml:space="preserve">DOR04136112</t>
  </si>
  <si>
    <t xml:space="preserve">DOR04138860</t>
  </si>
  <si>
    <t xml:space="preserve">DOR04135710</t>
  </si>
  <si>
    <t xml:space="preserve">DOR04135659 - 5 Cti</t>
  </si>
  <si>
    <t xml:space="preserve">DOR04136158 - 4 And La</t>
  </si>
  <si>
    <t xml:space="preserve">DOR04135394</t>
  </si>
  <si>
    <t xml:space="preserve">DOR04133110 - Rec Imag.</t>
  </si>
  <si>
    <t xml:space="preserve">DOR04128686</t>
  </si>
  <si>
    <t xml:space="preserve">DOR04126316 - Tomografia</t>
  </si>
  <si>
    <t xml:space="preserve">DOR04120893</t>
  </si>
  <si>
    <t xml:space="preserve">Bobina para 1Sub Solo</t>
  </si>
  <si>
    <t xml:space="preserve">DOR04114381</t>
  </si>
  <si>
    <t xml:space="preserve">s/chamado</t>
  </si>
  <si>
    <t xml:space="preserve">DOR04110381</t>
  </si>
  <si>
    <t xml:space="preserve">DOR04109690</t>
  </si>
  <si>
    <t xml:space="preserve">DOR04109655</t>
  </si>
  <si>
    <t xml:space="preserve">DOR04107388</t>
  </si>
  <si>
    <t xml:space="preserve">DOR04100177</t>
  </si>
  <si>
    <t xml:space="preserve">DOR04095614</t>
  </si>
  <si>
    <t xml:space="preserve">DOR04094683</t>
  </si>
  <si>
    <t xml:space="preserve">DOR04091113</t>
  </si>
  <si>
    <t xml:space="preserve">DOR04076579</t>
  </si>
  <si>
    <t xml:space="preserve">DOR04084054</t>
  </si>
  <si>
    <t xml:space="preserve">DOR04084077</t>
  </si>
  <si>
    <t xml:space="preserve">DOR04065026</t>
  </si>
  <si>
    <t xml:space="preserve">DOR04064692</t>
  </si>
  <si>
    <t xml:space="preserve">DOR04061292</t>
  </si>
  <si>
    <t xml:space="preserve">DOR04061077</t>
  </si>
  <si>
    <t xml:space="preserve">do</t>
  </si>
  <si>
    <t xml:space="preserve">DOR04049576</t>
  </si>
  <si>
    <t xml:space="preserve">DOR04043821</t>
  </si>
  <si>
    <t xml:space="preserve">DOR04043443</t>
  </si>
  <si>
    <t xml:space="preserve">DOR04037273</t>
  </si>
  <si>
    <t xml:space="preserve">DOR04027761</t>
  </si>
  <si>
    <t xml:space="preserve">DOR04027279</t>
  </si>
  <si>
    <t xml:space="preserve">Uma Bobina - 4º Andar</t>
  </si>
  <si>
    <t xml:space="preserve">DOR04023422</t>
  </si>
  <si>
    <t xml:space="preserve">DOR04016266</t>
  </si>
  <si>
    <t xml:space="preserve">DOR04006900</t>
  </si>
  <si>
    <t xml:space="preserve">DOR04009078</t>
  </si>
  <si>
    <t xml:space="preserve">Wenderson - DOR04007672</t>
  </si>
  <si>
    <t xml:space="preserve"> 
DOR04001497 </t>
  </si>
  <si>
    <t xml:space="preserve">liberação segundo andar</t>
  </si>
  <si>
    <t xml:space="preserve">DOR04003708</t>
  </si>
  <si>
    <t xml:space="preserve">Toner com Problema 5º - IP 10.20.3.144</t>
  </si>
  <si>
    <t xml:space="preserve">DOR03991482</t>
  </si>
  <si>
    <t xml:space="preserve">DOR03990492</t>
  </si>
  <si>
    <t xml:space="preserve">KIT PISTOLA HONEYWELL 1902 C/ BASE ( na caixa branca)</t>
  </si>
  <si>
    <t xml:space="preserve">DOR03958977</t>
  </si>
  <si>
    <t xml:space="preserve">Empréstimo Copa Dor</t>
  </si>
  <si>
    <t xml:space="preserve">Emprestimo Copa Dor</t>
  </si>
  <si>
    <t xml:space="preserve">DOR03984460</t>
  </si>
  <si>
    <t xml:space="preserve">Teclado emprestado para Nemora.</t>
  </si>
  <si>
    <t xml:space="preserve">DOR03984541</t>
  </si>
  <si>
    <t xml:space="preserve">DOR0396985</t>
  </si>
  <si>
    <t xml:space="preserve">TONER203U</t>
  </si>
  <si>
    <t xml:space="preserve">DOR03981061</t>
  </si>
  <si>
    <t xml:space="preserve">DOR03977812</t>
  </si>
  <si>
    <t xml:space="preserve">DOR03974288  - Qualidade</t>
  </si>
  <si>
    <t xml:space="preserve">DOR03974595</t>
  </si>
  <si>
    <t xml:space="preserve">DOR03973042</t>
  </si>
  <si>
    <t xml:space="preserve">Retirada 2º CCG </t>
  </si>
  <si>
    <t xml:space="preserve">Bernardo Silva</t>
  </si>
  <si>
    <t xml:space="preserve">DOR03974418</t>
  </si>
  <si>
    <t xml:space="preserve">foi colocado 2 impressoras zebras e 1 fonte - DOR03974019</t>
  </si>
  <si>
    <t xml:space="preserve">DOR03972162</t>
  </si>
  <si>
    <t xml:space="preserve">DOR03964212</t>
  </si>
  <si>
    <t xml:space="preserve">DOR03964249</t>
  </si>
  <si>
    <t xml:space="preserve">DOR03964212 </t>
  </si>
  <si>
    <t xml:space="preserve">entrega do item</t>
  </si>
  <si>
    <t xml:space="preserve">atender os chamados  DOR03964168 e </t>
  </si>
  <si>
    <t xml:space="preserve">emprestimo para atender o chamado DOR03938534</t>
  </si>
  <si>
    <t xml:space="preserve">DOR03961399</t>
  </si>
  <si>
    <t xml:space="preserve">DOR03956845</t>
  </si>
  <si>
    <t xml:space="preserve">DOR03955413</t>
  </si>
  <si>
    <t xml:space="preserve">DOR03954856</t>
  </si>
  <si>
    <t xml:space="preserve">DOR03950020 e DOR03950020</t>
  </si>
  <si>
    <t xml:space="preserve">DOR03950210</t>
  </si>
  <si>
    <t xml:space="preserve">DOR03939560</t>
  </si>
  <si>
    <t xml:space="preserve">DOR03939589</t>
  </si>
  <si>
    <t xml:space="preserve">DOR03950253</t>
  </si>
  <si>
    <t xml:space="preserve">    22/092017</t>
  </si>
  <si>
    <t xml:space="preserve">liberação 2 andar</t>
  </si>
  <si>
    <t xml:space="preserve">Liberação para o 2 andar</t>
  </si>
  <si>
    <t xml:space="preserve">DOR03946407</t>
  </si>
  <si>
    <t xml:space="preserve">DOR03946654</t>
  </si>
  <si>
    <t xml:space="preserve">DOR03939399</t>
  </si>
  <si>
    <t xml:space="preserve">DOR03942040</t>
  </si>
  <si>
    <t xml:space="preserve">DOR03935059</t>
  </si>
  <si>
    <t xml:space="preserve">Impressora 10.20.3.21</t>
  </si>
  <si>
    <t xml:space="preserve">DOR03921787</t>
  </si>
  <si>
    <t xml:space="preserve">DOR03923124</t>
  </si>
  <si>
    <t xml:space="preserve">DOR03908082</t>
  </si>
  <si>
    <t xml:space="preserve">Chamado DOR03903169</t>
  </si>
  <si>
    <t xml:space="preserve">DOR03903165 - Chamado para o Posto2</t>
  </si>
  <si>
    <t xml:space="preserve">DOR03889772 - Coronaria - PostoB</t>
  </si>
  <si>
    <t xml:space="preserve">Solicitação da direção em prover um iPad para o leito 432 (Coronária)</t>
  </si>
  <si>
    <t xml:space="preserve">DOR03887521</t>
  </si>
  <si>
    <t xml:space="preserve">DOR03887512</t>
  </si>
  <si>
    <t xml:space="preserve">Chamado DOR03878743</t>
  </si>
  <si>
    <t xml:space="preserve">Emprestimo ao DC39 - Carlos </t>
  </si>
  <si>
    <t xml:space="preserve">Chamado DOR03878556</t>
  </si>
  <si>
    <t xml:space="preserve">DOR03877865 - ECO</t>
  </si>
  <si>
    <t xml:space="preserve">DOR03875576 - Tomografia</t>
  </si>
  <si>
    <t xml:space="preserve">Chamado DOR03873100</t>
  </si>
  <si>
    <t xml:space="preserve">DOR03871767 - UI 3B</t>
  </si>
  <si>
    <t xml:space="preserve">DOR03865884 - UI 4A</t>
  </si>
  <si>
    <t xml:space="preserve">Bobina de Relogio Quarto Andar - Galeria</t>
  </si>
  <si>
    <t xml:space="preserve">DOR03866846 - Faturamento - Final 18</t>
  </si>
  <si>
    <t xml:space="preserve">DOR03862361- Recepção de Imagem</t>
  </si>
  <si>
    <t xml:space="preserve">Chamado da Diretoria</t>
  </si>
  <si>
    <t xml:space="preserve">DOR03859787 - Farmácia</t>
  </si>
  <si>
    <t xml:space="preserve">DOR03860148- Coronária</t>
  </si>
  <si>
    <t xml:space="preserve">DOR03858413 - UI 3B</t>
  </si>
  <si>
    <t xml:space="preserve">DOR03854493 - Unidade de internação 2A</t>
  </si>
  <si>
    <t xml:space="preserve">DOR03851549 - Gerência de Enfermagem</t>
  </si>
  <si>
    <t xml:space="preserve">DOR03750496 - Fatura</t>
  </si>
  <si>
    <t xml:space="preserve">DOR03848727 - Emergência</t>
  </si>
  <si>
    <t xml:space="preserve">DOR03817258</t>
  </si>
  <si>
    <t xml:space="preserve">DOR03839322 - Melissa Muller - 10.20.3.23</t>
  </si>
  <si>
    <t xml:space="preserve">DOR03837421</t>
  </si>
  <si>
    <t xml:space="preserve">DOR03831019 - Arquivo da Radiologia</t>
  </si>
  <si>
    <t xml:space="preserve">Bobina para o Quinto Andar - Area Serviço</t>
  </si>
  <si>
    <t xml:space="preserve">Contato Telefonico direto - Rec_Emer  - Terreo 10.20.3.87</t>
  </si>
  <si>
    <t xml:space="preserve">Chamado para a Impressora do CC 10.20.3.104</t>
  </si>
  <si>
    <t xml:space="preserve">DOR03816834 - Faturamento</t>
  </si>
  <si>
    <t xml:space="preserve">XEROX 750 AMARELO</t>
  </si>
  <si>
    <t xml:space="preserve">DOR03816826 - Tomografia</t>
  </si>
  <si>
    <t xml:space="preserve">Cgamado DOR03815644- 10.20.3.118</t>
  </si>
  <si>
    <t xml:space="preserve">Chamado DOR03810824</t>
  </si>
  <si>
    <t xml:space="preserve">Chamado DOR03810645</t>
  </si>
  <si>
    <t xml:space="preserve">Chamado para Impressora da Fat 10.20.3.119</t>
  </si>
  <si>
    <t xml:space="preserve">Emprestimo ao Copa Dor - 5 Toner </t>
  </si>
  <si>
    <t xml:space="preserve">DOR03805308 - Farmácia</t>
  </si>
  <si>
    <t xml:space="preserve">2SS - CME - 10.20.3.127 </t>
  </si>
  <si>
    <t xml:space="preserve">DOR03788195 - Ip 10.20.3.78 - Posto3A</t>
  </si>
  <si>
    <t xml:space="preserve">DOR03796783, 5 Andar Simples Ip 10.20.3.144</t>
  </si>
  <si>
    <t xml:space="preserve">Bobinas para relogio 02 03 Andar e 1 Sub Solo</t>
  </si>
  <si>
    <t xml:space="preserve">DOR03788351 - Ip 10.20.3.122</t>
  </si>
  <si>
    <t xml:space="preserve">Solicitação via e-mail. Entregue pelo Wenderson</t>
  </si>
  <si>
    <t xml:space="preserve">DOR03772950 - Copa 1A</t>
  </si>
  <si>
    <t xml:space="preserve">DOR03781415 - Recpção Social - 10.20.3.81</t>
  </si>
  <si>
    <t xml:space="preserve">DOR03781490 - Restaurante - 10.20.3.84</t>
  </si>
  <si>
    <t xml:space="preserve">Relogio do 4º Andar sem Papel - Enrada de Serviço</t>
  </si>
  <si>
    <t xml:space="preserve">DOR03780988 - 4 Andar lado A - 10.20.3.13</t>
  </si>
  <si>
    <t xml:space="preserve">Toner emprestado ao Copa Dor - nesta data. 05 Tonner.</t>
  </si>
  <si>
    <t xml:space="preserve">DOR03770371 - Tomografia</t>
  </si>
  <si>
    <t xml:space="preserve">Chamado para o Faturamento e Arsenal 2SS - Ok</t>
  </si>
  <si>
    <t xml:space="preserve">Dois Desktops para o Faturameno e Arsenal 2SS - Ok</t>
  </si>
  <si>
    <t xml:space="preserve">Chamado DOR03764350 </t>
  </si>
  <si>
    <t xml:space="preserve">DOR03757744 - Posto de Enferm. Emergência</t>
  </si>
  <si>
    <t xml:space="preserve">DOR03752940 - para atender ao Diogo - Fisio</t>
  </si>
  <si>
    <t xml:space="preserve">Chamado DOR03752940 Impressora 10.20.3.180</t>
  </si>
  <si>
    <t xml:space="preserve">DOR03751168- Penf 3B</t>
  </si>
  <si>
    <t xml:space="preserve">DOR03745601 - Tomografia</t>
  </si>
  <si>
    <t xml:space="preserve">
DOR03745601 - Tomografia</t>
  </si>
  <si>
    <t xml:space="preserve">DOR03740045 - Farmácia</t>
  </si>
  <si>
    <t xml:space="preserve">Chamado do Faturamento - Final 115</t>
  </si>
  <si>
    <t xml:space="preserve">DOR03735714 - Posto de Enfermagem 3B</t>
  </si>
  <si>
    <t xml:space="preserve">DOR03733264 - Arsenal Consignado </t>
  </si>
  <si>
    <t xml:space="preserve">DOR03731266 - Setor Hotelaria/Higiene</t>
  </si>
  <si>
    <t xml:space="preserve">Chamado inexistente verifiado no Local - 4 Pav - Galeria </t>
  </si>
  <si>
    <t xml:space="preserve">DOR03726989 - Almoxarifado</t>
  </si>
  <si>
    <t xml:space="preserve">DOR03772505 - Farmacia</t>
  </si>
  <si>
    <t xml:space="preserve">DOR03716335 -  Impressora 2SS - C_Ciru</t>
  </si>
  <si>
    <t xml:space="preserve">Chamado para atender a impressora 10.20.3.161</t>
  </si>
  <si>
    <t xml:space="preserve">DOR03705450 - Faturamento</t>
  </si>
  <si>
    <t xml:space="preserve">DOR03699604 - Recpação de Emergencia</t>
  </si>
  <si>
    <t xml:space="preserve">DOR03692752 - Faturamento </t>
  </si>
  <si>
    <t xml:space="preserve">DOR03693683 - Unidade de Internação 3B</t>
  </si>
  <si>
    <t xml:space="preserve">DOR03693434 - Unidade de Internação 3º B</t>
  </si>
  <si>
    <t xml:space="preserve">OBS</t>
  </si>
  <si>
    <t xml:space="preserve">NF 0168187</t>
  </si>
  <si>
    <t xml:space="preserve">movimentação de estoq</t>
  </si>
  <si>
    <t xml:space="preserve">NF 0154869</t>
  </si>
  <si>
    <t xml:space="preserve">NF 0154870</t>
  </si>
  <si>
    <t xml:space="preserve">NF 1321438</t>
  </si>
  <si>
    <t xml:space="preserve">Retirado da sala 99 para a sala da Informática.</t>
  </si>
  <si>
    <t xml:space="preserve">entrada da 99</t>
  </si>
  <si>
    <t xml:space="preserve">Para atender ao Copa Star</t>
  </si>
  <si>
    <t xml:space="preserve">Entregua da Simpress pela NF 151591</t>
  </si>
  <si>
    <t xml:space="preserve">Entregua da Simpress pela NF 0790720</t>
  </si>
  <si>
    <t xml:space="preserve">Entregua da Simpress pela NF 0791318</t>
  </si>
  <si>
    <t xml:space="preserve">estoque 99</t>
  </si>
  <si>
    <t xml:space="preserve">Estoque 99</t>
  </si>
  <si>
    <t xml:space="preserve">Para atender co Copa Star</t>
  </si>
  <si>
    <t xml:space="preserve">Retirado da loja 99.</t>
  </si>
  <si>
    <t xml:space="preserve">saida 99</t>
  </si>
  <si>
    <t xml:space="preserve">13/</t>
  </si>
  <si>
    <t xml:space="preserve">Entrada para trabalahar no Copa Star - 5 Estoque 99 </t>
  </si>
  <si>
    <t xml:space="preserve">Entregue pela Fast Suplyy - 03 Asprial Barnco de Telefone CP 7841 - Branco - NF 1584</t>
  </si>
  <si>
    <t xml:space="preserve">Entregue Pela Fast Suplyy . NF 1585 - Pelicula para Tablet</t>
  </si>
  <si>
    <t xml:space="preserve">Nota Fsiccal entregue pela Simpress.</t>
  </si>
  <si>
    <t xml:space="preserve">Nota Fsical entregue pela Simpress - Nf </t>
  </si>
  <si>
    <t xml:space="preserve">NF 1484</t>
  </si>
  <si>
    <t xml:space="preserve">NF: 000.031.605                                                            NF: 000.031.606 </t>
  </si>
  <si>
    <t xml:space="preserve">Nota Fsical - UPS 2163418</t>
  </si>
  <si>
    <t xml:space="preserve">NF 1364/ FAST SUPPLY</t>
  </si>
  <si>
    <t xml:space="preserve">NF 1365/ Fast Supply</t>
  </si>
  <si>
    <t xml:space="preserve">Esntrada para trabalahar no Copa Star - 11 Estoque 99 - 14 NF 662555 - </t>
  </si>
  <si>
    <t xml:space="preserve">Saiu do estqoque da Sala 99, para atender ao Copa Star</t>
  </si>
  <si>
    <t xml:space="preserve">Para atender o Copa Star - Demanda.</t>
  </si>
  <si>
    <t xml:space="preserve">Para uso no Copa Star</t>
  </si>
  <si>
    <t xml:space="preserve">Para uso no Copa Star.</t>
  </si>
  <si>
    <t xml:space="preserve">Entrega da Nota Fsical 1289/1290 - Fast Supply.</t>
  </si>
  <si>
    <t xml:space="preserve">Toner que veio do Estque Novo - Sala 99 - Entarda</t>
  </si>
  <si>
    <t xml:space="preserve">Toner para ser usuado no Hospital Copa Star</t>
  </si>
  <si>
    <t xml:space="preserve">Toner trazido da Sala 99 para trabalhar no Copa Star - 09 Toners</t>
  </si>
  <si>
    <t xml:space="preserve">Entrada de 10 Tornes para Serviço no Cpa Star.</t>
  </si>
  <si>
    <t xml:space="preserve">Fast Supply 1177</t>
  </si>
  <si>
    <t xml:space="preserve">Entregue pela Simpress via NF 0138493</t>
  </si>
  <si>
    <t xml:space="preserve">Entregue pela Simpress via nota fiscal 0138493</t>
  </si>
  <si>
    <t xml:space="preserve">Entregua de Toners enviaada pela SIMPRESS - NF 0622950</t>
  </si>
  <si>
    <t xml:space="preserve">02 Bobinas para o Rélogio de Ponto. Dia 05/02/2018</t>
  </si>
  <si>
    <t xml:space="preserve"> Entrada para o estoque, chegou dia 05/02/2018</t>
  </si>
  <si>
    <t xml:space="preserve">entradas não registradas</t>
  </si>
  <si>
    <t xml:space="preserve">Feita a entregua de Toners pela NF - 0618117 - Troca de Toner Defeituoso.</t>
  </si>
  <si>
    <t xml:space="preserve">NF: 1064 / Fast Supply</t>
  </si>
  <si>
    <t xml:space="preserve">NF: 1067 / Fast Supply</t>
  </si>
  <si>
    <t xml:space="preserve">NF: 1065 / Fast Supply</t>
  </si>
  <si>
    <t xml:space="preserve">NF 1066 / Fast Supply</t>
  </si>
  <si>
    <t xml:space="preserve">Entregue pela Simpress na Nota Fiscal - 0137583</t>
  </si>
  <si>
    <t xml:space="preserve">Entrega da Simpress de 30 Toners - NF 0611798</t>
  </si>
  <si>
    <t xml:space="preserve">Entregue via Nota Fiscal - 904 / 905</t>
  </si>
  <si>
    <t xml:space="preserve">devolução de material</t>
  </si>
  <si>
    <t xml:space="preserve">Referentes aos chamados DOR04026673 / DOR04028955</t>
  </si>
  <si>
    <t xml:space="preserve">Mini PC Optilex 3060 - Entregue DELL - NF 6843086</t>
  </si>
  <si>
    <t xml:space="preserve">NF 936   937 865     FAST SUPPLY</t>
  </si>
  <si>
    <t xml:space="preserve">WeB Cam entregue Ok</t>
  </si>
  <si>
    <t xml:space="preserve">NF: 887 - Fornecedor: DIGITOS SERVIÇOS</t>
  </si>
  <si>
    <t xml:space="preserve">Entrega de emprestimo ao Copa Dor - Anderson</t>
  </si>
  <si>
    <t xml:space="preserve">Nota Fiscal - 128826</t>
  </si>
  <si>
    <t xml:space="preserve">Material entregue na unidade pelo David Rosa. DOR03964249</t>
  </si>
  <si>
    <t xml:space="preserve">Entregue pela DELL.</t>
  </si>
  <si>
    <t xml:space="preserve">Monitores entregues pela DELL - </t>
  </si>
  <si>
    <t xml:space="preserve">Toner entregue da Simpress NF 128370</t>
  </si>
  <si>
    <t xml:space="preserve">Toner entregue da Simpress Nota Fiscal 128370</t>
  </si>
  <si>
    <t xml:space="preserve">teclado do Quinta Dor</t>
  </si>
  <si>
    <t xml:space="preserve">Entregue pela Suplly NF 0809</t>
  </si>
  <si>
    <t xml:space="preserve">Entrega de Toner NF 127585</t>
  </si>
  <si>
    <t xml:space="preserve">Chegada de Toner da Simpress NF 127585.</t>
  </si>
  <si>
    <t xml:space="preserve">Toner entregue pela Simpress NF 576579</t>
  </si>
  <si>
    <t xml:space="preserve">Toner entregue da Simprees</t>
  </si>
  <si>
    <t xml:space="preserve">Celular WinMate - Sem carregador entregue pela Carololina </t>
  </si>
  <si>
    <t xml:space="preserve">Toner entregue pela Simpress em Notas Fiscais diferentes.</t>
  </si>
  <si>
    <t xml:space="preserve">Toner entregue da Simpress</t>
  </si>
  <si>
    <t xml:space="preserve">NF 745 - Fast Supply  </t>
  </si>
  <si>
    <t xml:space="preserve">Toner enviado pela Simpress em Notas Fiscais Diferentes</t>
  </si>
  <si>
    <t xml:space="preserve">Material recebido no Copa Star</t>
  </si>
  <si>
    <t xml:space="preserve">Material entregue no Copa Dor</t>
  </si>
  <si>
    <t xml:space="preserve">Entrega da Dell - 3 Monitores em NF 6711700  </t>
  </si>
  <si>
    <t xml:space="preserve">Entrega da Dell - 3 Desktops em NF 6711700 </t>
  </si>
  <si>
    <t xml:space="preserve">Entrada no Estoque - Projeto - Resp . Mamedes</t>
  </si>
  <si>
    <t xml:space="preserve">Entrega da Simpress em NF 122063 - Simpress</t>
  </si>
  <si>
    <t xml:space="preserve">Entrega da Simpress de Toner em Notas Fiscais Diferentes</t>
  </si>
  <si>
    <t xml:space="preserve">Entrega de Tonar da Siumprees - NF 121924</t>
  </si>
  <si>
    <t xml:space="preserve">Entrega da Simpress em Notas Fiscais Diferentes</t>
  </si>
  <si>
    <t xml:space="preserve">Recebido da DELL com a NF 6703807</t>
  </si>
  <si>
    <t xml:space="preserve">Toner Recebido pela Simpress em NF </t>
  </si>
  <si>
    <t xml:space="preserve">Toners Recebidos pela Simpress em NF Diferentes.</t>
  </si>
  <si>
    <t xml:space="preserve">DOR03809563</t>
  </si>
  <si>
    <t xml:space="preserve">Devolução de Empréstimo ao Copa Dor - 10 Toners</t>
  </si>
  <si>
    <t xml:space="preserve">Rcebido na NF 710</t>
  </si>
  <si>
    <t xml:space="preserve">NF - 0709 - Recebido </t>
  </si>
  <si>
    <t xml:space="preserve">Tablet de Demostração entregue pela Nemora Mioreli.</t>
  </si>
  <si>
    <t xml:space="preserve">Telefone Delvovido pela Nemora Mioreli. Aparelho Branco</t>
  </si>
  <si>
    <t xml:space="preserve">All One Devolvido pela Nemora.</t>
  </si>
  <si>
    <t xml:space="preserve">Toner Recebido da Simpress em NF 0120317</t>
  </si>
  <si>
    <t xml:space="preserve">Toner recebido da Simpress em NF 0120317</t>
  </si>
  <si>
    <t xml:space="preserve">Toner Recebidos da Simpress em NF Diferentes</t>
  </si>
  <si>
    <t xml:space="preserve">Toner Entregues pela Simpress em Notas Fiscias Diferentes - 05 Toners</t>
  </si>
  <si>
    <t xml:space="preserve">Toner entregue pela Simpress - 01 Toner</t>
  </si>
  <si>
    <t xml:space="preserve">Obs - Conforme chamado DOR03379744</t>
  </si>
  <si>
    <t xml:space="preserve">Obs - Chamado DOR03379744</t>
  </si>
  <si>
    <t xml:space="preserve">Toner Recebido pela Simpress</t>
  </si>
  <si>
    <t xml:space="preserve">Toners entregues da Simpress, em varias NF diferentes. 05 Toner</t>
  </si>
  <si>
    <t xml:space="preserve">Toners Recebido da Simpress em NF Diferentes.</t>
  </si>
  <si>
    <t xml:space="preserve">Troner Recebido da Simprees NF 0119167</t>
  </si>
  <si>
    <t xml:space="preserve">Toner Recebido da Simpress.</t>
  </si>
  <si>
    <t xml:space="preserve">Toner´s Recebidos da Simpress em NF Diferentes. Dia 25/07/2017</t>
  </si>
  <si>
    <t xml:space="preserve">fast supply  N654</t>
  </si>
  <si>
    <t xml:space="preserve">Toner Recebido da Simpress</t>
  </si>
  <si>
    <t xml:space="preserve">Recebomento da simpress</t>
  </si>
  <si>
    <t xml:space="preserve">recebimento de 9 NF da simpress</t>
  </si>
  <si>
    <t xml:space="preserve">ENTRADAS</t>
  </si>
  <si>
    <t xml:space="preserve">Ajuste Estoque</t>
  </si>
  <si>
    <t xml:space="preserve">   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</si>
</sst>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D/M/YYYY"/>
    <numFmt numFmtId="166" formatCode="&quot;R$ &quot;#,##0.00"/>
    <numFmt numFmtId="167" formatCode="0"/>
    <numFmt numFmtId="168" formatCode="DD/MM/YYYY"/>
    <numFmt numFmtId="169" formatCode="[$R$-416]\ #,##0.00;[RED]\-[$R$-416]\ #,##0.00"/>
    <numFmt numFmtId="170" formatCode="@"/>
  </numFmts>
  <fonts count="3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48"/>
      <color rgb="FF000000"/>
      <name val="Calibri"/>
      <family val="2"/>
      <charset val="1"/>
    </font>
    <font>
      <sz val="11"/>
      <color rgb="FF00B0F0"/>
      <name val="Calibri"/>
      <family val="2"/>
      <charset val="1"/>
    </font>
    <font>
      <u val="single"/>
      <sz val="11"/>
      <color rgb="FF00B0F0"/>
      <name val="Calibri"/>
      <family val="2"/>
      <charset val="1"/>
    </font>
    <font>
      <u val="single"/>
      <sz val="11"/>
      <color rgb="FF0563C1"/>
      <name val="Calibri"/>
      <family val="2"/>
      <charset val="1"/>
    </font>
    <font>
      <sz val="11"/>
      <name val="Calibri"/>
      <family val="2"/>
      <charset val="1"/>
    </font>
    <font>
      <b val="true"/>
      <sz val="11"/>
      <name val="Calibri"/>
      <family val="2"/>
      <charset val="1"/>
    </font>
    <font>
      <sz val="11"/>
      <color rgb="FFB4C7E7"/>
      <name val="Calibri"/>
      <family val="2"/>
      <charset val="1"/>
    </font>
    <font>
      <sz val="11"/>
      <color rgb="FFFFE699"/>
      <name val="Calibri"/>
      <family val="2"/>
      <charset val="1"/>
    </font>
    <font>
      <sz val="11"/>
      <color rgb="FFFFFFFF"/>
      <name val="Calibri"/>
      <family val="0"/>
    </font>
    <font>
      <sz val="11"/>
      <color rgb="FF000000"/>
      <name val="Calibri"/>
      <family val="0"/>
      <charset val="1"/>
    </font>
    <font>
      <sz val="11"/>
      <color rgb="FF92D050"/>
      <name val="Calibri"/>
      <family val="2"/>
      <charset val="1"/>
    </font>
    <font>
      <sz val="11"/>
      <color rgb="FFFFFFFF"/>
      <name val="Calibri"/>
      <family val="2"/>
      <charset val="1"/>
    </font>
    <font>
      <sz val="14"/>
      <name val="Calibri"/>
      <family val="2"/>
      <charset val="1"/>
    </font>
    <font>
      <sz val="10"/>
      <name val="Arial"/>
      <family val="2"/>
      <charset val="1"/>
    </font>
    <font>
      <sz val="14"/>
      <color rgb="FF000000"/>
      <name val="Calibri"/>
      <family val="2"/>
      <charset val="1"/>
    </font>
    <font>
      <sz val="9"/>
      <color rgb="FF5A7077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5A7077"/>
      <name val="Calibri"/>
      <family val="2"/>
      <charset val="1"/>
    </font>
    <font>
      <b val="true"/>
      <sz val="14"/>
      <color rgb="FF5A7077"/>
      <name val="Tahoma"/>
      <family val="2"/>
      <charset val="1"/>
    </font>
    <font>
      <sz val="10"/>
      <color rgb="FF000080"/>
      <name val="Tahoma"/>
      <family val="2"/>
      <charset val="1"/>
    </font>
    <font>
      <sz val="11"/>
      <name val="Tahoma"/>
      <family val="2"/>
      <charset val="1"/>
    </font>
    <font>
      <sz val="11"/>
      <color rgb="FF000000"/>
      <name val="Tahoma"/>
      <family val="2"/>
      <charset val="1"/>
    </font>
    <font>
      <sz val="10"/>
      <name val="Tahoma"/>
      <family val="2"/>
      <charset val="1"/>
    </font>
    <font>
      <sz val="13"/>
      <name val="Tahoma"/>
      <family val="2"/>
      <charset val="1"/>
    </font>
    <font>
      <sz val="10"/>
      <color rgb="FF5A7077"/>
      <name val="Tahoma"/>
      <family val="2"/>
      <charset val="1"/>
    </font>
    <font>
      <sz val="9"/>
      <name val="Tahoma"/>
      <family val="2"/>
      <charset val="1"/>
    </font>
    <font>
      <sz val="11"/>
      <color rgb="FF5A7077"/>
      <name val="Tahoma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Tahoma"/>
      <family val="2"/>
      <charset val="1"/>
    </font>
    <font>
      <b val="true"/>
      <sz val="10"/>
      <color rgb="FF5A7077"/>
      <name val="Tahoma"/>
      <family val="2"/>
      <charset val="1"/>
    </font>
    <font>
      <sz val="11"/>
      <color rgb="FFFF00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B0F0"/>
        <bgColor rgb="FF33CCCC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B4C7E7"/>
      </patternFill>
    </fill>
    <fill>
      <patternFill patternType="solid">
        <fgColor rgb="FFFFF2CC"/>
        <bgColor rgb="FFFBFBFB"/>
      </patternFill>
    </fill>
    <fill>
      <patternFill patternType="solid">
        <fgColor rgb="FFBDD7EE"/>
        <bgColor rgb="FFB4C7E7"/>
      </patternFill>
    </fill>
    <fill>
      <patternFill patternType="solid">
        <fgColor rgb="FFDEEBF7"/>
        <bgColor rgb="FFFBFBFB"/>
      </patternFill>
    </fill>
    <fill>
      <patternFill patternType="solid">
        <fgColor rgb="FFFFFFFF"/>
        <bgColor rgb="FFFBFBFB"/>
      </patternFill>
    </fill>
    <fill>
      <patternFill patternType="solid">
        <fgColor rgb="FFFBFBFB"/>
        <bgColor rgb="FFFFFFFF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>
        <color rgb="FFFFFFFF"/>
      </left>
      <right/>
      <top style="medium">
        <color rgb="FFFFFFFF"/>
      </top>
      <bottom/>
      <diagonal/>
    </border>
    <border diagonalUp="false" diagonalDown="false">
      <left/>
      <right/>
      <top style="medium">
        <color rgb="FFFFFFFF"/>
      </top>
      <bottom/>
      <diagonal/>
    </border>
    <border diagonalUp="false" diagonalDown="false">
      <left/>
      <right style="medium">
        <color rgb="FFFFFFFF"/>
      </right>
      <top style="medium">
        <color rgb="FFFFFFFF"/>
      </top>
      <bottom/>
      <diagonal/>
    </border>
    <border diagonalUp="false" diagonalDown="false">
      <left style="medium">
        <color rgb="FFFFFFFF"/>
      </left>
      <right/>
      <top/>
      <bottom/>
      <diagonal/>
    </border>
    <border diagonalUp="false" diagonalDown="false">
      <left/>
      <right style="medium">
        <color rgb="FFFFFFFF"/>
      </right>
      <top/>
      <bottom/>
      <diagonal/>
    </border>
    <border diagonalUp="false" diagonalDown="false">
      <left style="medium">
        <color rgb="FFFFFFFF"/>
      </left>
      <right/>
      <top/>
      <bottom style="medium">
        <color rgb="FFFFFFFF"/>
      </bottom>
      <diagonal/>
    </border>
    <border diagonalUp="false" diagonalDown="false">
      <left/>
      <right/>
      <top/>
      <bottom style="medium">
        <color rgb="FFFFFFFF"/>
      </bottom>
      <diagonal/>
    </border>
    <border diagonalUp="false" diagonalDown="false">
      <left/>
      <right style="medium">
        <color rgb="FFFFFFFF"/>
      </right>
      <top/>
      <bottom style="medium">
        <color rgb="FFFFFFF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5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6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6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8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true" indent="0" shrinkToFit="false"/>
      <protection locked="true" hidden="false"/>
    </xf>
    <xf numFmtId="164" fontId="1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1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7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7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7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9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8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70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8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7" fontId="0" fillId="0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8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2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27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2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3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31" fillId="9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6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6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3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808080"/>
      <rgbColor rgb="FF9999FF"/>
      <rgbColor rgb="FF993366"/>
      <rgbColor rgb="FFFFF2CC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BFBFB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5A7077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hyperlink" Target="#ESTOQUE!A1" TargetMode="External"/><Relationship Id="rId2" Type="http://schemas.openxmlformats.org/officeDocument/2006/relationships/hyperlink" Target="#CAPA!A1" TargetMode="Externa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hyperlink" Target="#ESTOQUE!A1" TargetMode="External"/><Relationship Id="rId2" Type="http://schemas.openxmlformats.org/officeDocument/2006/relationships/hyperlink" Target="#CAPA!A1" TargetMode="Externa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28440</xdr:colOff>
      <xdr:row>14</xdr:row>
      <xdr:rowOff>162000</xdr:rowOff>
    </xdr:from>
    <xdr:to>
      <xdr:col>5</xdr:col>
      <xdr:colOff>894960</xdr:colOff>
      <xdr:row>16</xdr:row>
      <xdr:rowOff>66240</xdr:rowOff>
    </xdr:to>
    <xdr:sp>
      <xdr:nvSpPr>
        <xdr:cNvPr id="0" name="CustomShape 1">
          <a:hlinkClick r:id="rId1"/>
        </xdr:cNvPr>
        <xdr:cNvSpPr/>
      </xdr:nvSpPr>
      <xdr:spPr>
        <a:xfrm>
          <a:off x="6086160" y="2752560"/>
          <a:ext cx="1679400" cy="285480"/>
        </a:xfrm>
        <a:prstGeom prst="roundRect">
          <a:avLst>
            <a:gd name="adj" fmla="val 16667"/>
          </a:avLst>
        </a:prstGeom>
        <a:solidFill>
          <a:srgbClr val="5b9bd5"/>
        </a:solidFill>
        <a:ln w="12600">
          <a:solidFill>
            <a:srgbClr val="43729d"/>
          </a:solidFill>
          <a:miter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latin typeface="Calibri"/>
            </a:rPr>
            <a:t>Verificar Estoque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</xdr:col>
      <xdr:colOff>0</xdr:colOff>
      <xdr:row>18</xdr:row>
      <xdr:rowOff>95400</xdr:rowOff>
    </xdr:from>
    <xdr:to>
      <xdr:col>5</xdr:col>
      <xdr:colOff>866520</xdr:colOff>
      <xdr:row>19</xdr:row>
      <xdr:rowOff>190080</xdr:rowOff>
    </xdr:to>
    <xdr:sp>
      <xdr:nvSpPr>
        <xdr:cNvPr id="1" name="CustomShape 1">
          <a:hlinkClick r:id="rId2"/>
        </xdr:cNvPr>
        <xdr:cNvSpPr/>
      </xdr:nvSpPr>
      <xdr:spPr>
        <a:xfrm>
          <a:off x="6057720" y="3448080"/>
          <a:ext cx="1679400" cy="285120"/>
        </a:xfrm>
        <a:prstGeom prst="roundRect">
          <a:avLst>
            <a:gd name="adj" fmla="val 16667"/>
          </a:avLst>
        </a:prstGeom>
        <a:solidFill>
          <a:srgbClr val="5b9bd5"/>
        </a:solidFill>
        <a:ln w="12600">
          <a:solidFill>
            <a:srgbClr val="43729d"/>
          </a:solidFill>
          <a:miter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latin typeface="Calibri"/>
            </a:rPr>
            <a:t>Capa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pt-BR" sz="11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95400</xdr:colOff>
      <xdr:row>14</xdr:row>
      <xdr:rowOff>47520</xdr:rowOff>
    </xdr:from>
    <xdr:to>
      <xdr:col>5</xdr:col>
      <xdr:colOff>923760</xdr:colOff>
      <xdr:row>15</xdr:row>
      <xdr:rowOff>142560</xdr:rowOff>
    </xdr:to>
    <xdr:sp>
      <xdr:nvSpPr>
        <xdr:cNvPr id="2" name="CustomShape 1">
          <a:hlinkClick r:id="rId1"/>
        </xdr:cNvPr>
        <xdr:cNvSpPr/>
      </xdr:nvSpPr>
      <xdr:spPr>
        <a:xfrm>
          <a:off x="6064920" y="3085920"/>
          <a:ext cx="1641240" cy="285480"/>
        </a:xfrm>
        <a:prstGeom prst="roundRect">
          <a:avLst>
            <a:gd name="adj" fmla="val 16667"/>
          </a:avLst>
        </a:prstGeom>
        <a:solidFill>
          <a:srgbClr val="5b9bd5"/>
        </a:solidFill>
        <a:ln w="12600">
          <a:solidFill>
            <a:srgbClr val="43729d"/>
          </a:solidFill>
          <a:miter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latin typeface="Calibri"/>
            </a:rPr>
            <a:t>Estoque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</xdr:col>
      <xdr:colOff>104760</xdr:colOff>
      <xdr:row>17</xdr:row>
      <xdr:rowOff>123840</xdr:rowOff>
    </xdr:from>
    <xdr:to>
      <xdr:col>5</xdr:col>
      <xdr:colOff>933120</xdr:colOff>
      <xdr:row>19</xdr:row>
      <xdr:rowOff>28080</xdr:rowOff>
    </xdr:to>
    <xdr:sp>
      <xdr:nvSpPr>
        <xdr:cNvPr id="3" name="CustomShape 1">
          <a:hlinkClick r:id="rId2"/>
        </xdr:cNvPr>
        <xdr:cNvSpPr/>
      </xdr:nvSpPr>
      <xdr:spPr>
        <a:xfrm>
          <a:off x="6074280" y="3733560"/>
          <a:ext cx="1641240" cy="285480"/>
        </a:xfrm>
        <a:prstGeom prst="roundRect">
          <a:avLst>
            <a:gd name="adj" fmla="val 16667"/>
          </a:avLst>
        </a:prstGeom>
        <a:solidFill>
          <a:srgbClr val="5b9bd5"/>
        </a:solidFill>
        <a:ln w="12600">
          <a:solidFill>
            <a:srgbClr val="43729d"/>
          </a:solidFill>
          <a:miter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latin typeface="Calibri"/>
            </a:rPr>
            <a:t>Capa</a:t>
          </a:r>
          <a:endParaRPr b="0" lang="pt-BR" sz="1100" spc="-1" strike="noStrike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bentrada" displayName="tbentrada" ref="A1:G182" headerRowCount="1" totalsRowCount="0" totalsRowShown="0">
  <autoFilter ref="A1:G182"/>
  <tableColumns count="7">
    <tableColumn id="1" name="CODIGO"/>
    <tableColumn id="2" name="DESCRICAO"/>
    <tableColumn id="3" name="DATA"/>
    <tableColumn id="4" name="QUANTIDADE"/>
    <tableColumn id="5" name="VALOR"/>
    <tableColumn id="6" name="OBS"/>
    <tableColumn id="7" name="MOTIVO"/>
  </tableColumns>
</table>
</file>

<file path=xl/tables/table2.xml><?xml version="1.0" encoding="utf-8"?>
<table xmlns="http://schemas.openxmlformats.org/spreadsheetml/2006/main" id="2" name="tbestoque" displayName="tbestoque" ref="A1:H234" headerRowCount="1" totalsRowCount="0" totalsRowShown="0">
  <autoFilter ref="A1:H234"/>
  <tableColumns count="8">
    <tableColumn id="1" name="CODIGO"/>
    <tableColumn id="2" name="DESCRIÇÃO"/>
    <tableColumn id="3" name="MARCA"/>
    <tableColumn id="4" name="VALOR"/>
    <tableColumn id="5" name="QUANTIDADE"/>
    <tableColumn id="6" name="TOTAL ENTRADAS"/>
    <tableColumn id="7" name="TOTAL SAIDA"/>
    <tableColumn id="8" name="QUANTIDADE ATUALIZADA"/>
  </tableColumns>
</table>
</file>

<file path=xl/tables/table3.xml><?xml version="1.0" encoding="utf-8"?>
<table xmlns="http://schemas.openxmlformats.org/spreadsheetml/2006/main" id="3" name="tbsaida" displayName="tbsaida" ref="A1:G1204" headerRowCount="1" totalsRowCount="0" totalsRowShown="0">
  <autoFilter ref="A1:G1204"/>
  <tableColumns count="7">
    <tableColumn id="1" name="CODIGO"/>
    <tableColumn id="2" name="DESCRICAO"/>
    <tableColumn id="3" name="DATA"/>
    <tableColumn id="4" name="QUANTIDADE"/>
    <tableColumn id="5" name="VALOR"/>
    <tableColumn id="6" name="MOTIVO"/>
    <tableColumn id="7" name="OBS:"/>
  </tableColumns>
</tabl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" activeCellId="1" sqref="E:E C6"/>
    </sheetView>
  </sheetViews>
  <sheetFormatPr defaultRowHeight="15" zeroHeight="false" outlineLevelRow="0" outlineLevelCol="0"/>
  <cols>
    <col collapsed="false" customWidth="true" hidden="false" outlineLevel="0" max="1025" min="1" style="0" width="8.49"/>
  </cols>
  <sheetData>
    <row r="1" customFormat="false" ht="15" hidden="false" customHeight="false" outlineLevel="0" collapsed="false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customFormat="false" ht="61.5" hidden="false" customHeight="false" outlineLevel="0" collapsed="false">
      <c r="A2" s="4"/>
      <c r="B2" s="5"/>
      <c r="C2" s="6" t="s">
        <v>0</v>
      </c>
      <c r="D2" s="5"/>
      <c r="E2" s="5"/>
      <c r="F2" s="5"/>
      <c r="G2" s="5"/>
      <c r="H2" s="5"/>
      <c r="I2" s="5"/>
      <c r="J2" s="5"/>
      <c r="K2" s="5"/>
      <c r="L2" s="5"/>
      <c r="M2" s="7"/>
    </row>
    <row r="3" customFormat="false" ht="15.75" hidden="false" customHeight="false" outlineLevel="0" collapsed="false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7"/>
    </row>
    <row r="4" customFormat="false" ht="15" hidden="false" customHeight="false" outlineLevel="0" collapsed="false">
      <c r="A4" s="4"/>
      <c r="B4" s="8"/>
      <c r="C4" s="9"/>
      <c r="D4" s="9"/>
      <c r="E4" s="9"/>
      <c r="F4" s="9"/>
      <c r="G4" s="9"/>
      <c r="H4" s="9"/>
      <c r="I4" s="9"/>
      <c r="J4" s="9"/>
      <c r="K4" s="10"/>
      <c r="L4" s="5"/>
      <c r="M4" s="7"/>
    </row>
    <row r="5" customFormat="false" ht="15" hidden="false" customHeight="false" outlineLevel="0" collapsed="false">
      <c r="A5" s="4"/>
      <c r="B5" s="11"/>
      <c r="C5" s="12"/>
      <c r="D5" s="12"/>
      <c r="E5" s="12"/>
      <c r="F5" s="12"/>
      <c r="G5" s="12"/>
      <c r="H5" s="12"/>
      <c r="I5" s="12"/>
      <c r="J5" s="12"/>
      <c r="K5" s="13"/>
      <c r="L5" s="5"/>
      <c r="M5" s="7"/>
    </row>
    <row r="6" customFormat="false" ht="15" hidden="false" customHeight="false" outlineLevel="0" collapsed="false">
      <c r="A6" s="4"/>
      <c r="B6" s="11"/>
      <c r="C6" s="14" t="s">
        <v>1</v>
      </c>
      <c r="D6" s="12"/>
      <c r="E6" s="12"/>
      <c r="F6" s="12"/>
      <c r="G6" s="12"/>
      <c r="H6" s="12"/>
      <c r="I6" s="12"/>
      <c r="J6" s="12"/>
      <c r="K6" s="13"/>
      <c r="L6" s="5"/>
      <c r="M6" s="7"/>
    </row>
    <row r="7" customFormat="false" ht="15" hidden="false" customHeight="false" outlineLevel="0" collapsed="false">
      <c r="A7" s="4"/>
      <c r="B7" s="11"/>
      <c r="C7" s="12"/>
      <c r="D7" s="12"/>
      <c r="E7" s="12"/>
      <c r="F7" s="12"/>
      <c r="G7" s="12"/>
      <c r="H7" s="12"/>
      <c r="I7" s="12"/>
      <c r="J7" s="12"/>
      <c r="K7" s="13"/>
      <c r="L7" s="5"/>
      <c r="M7" s="7"/>
    </row>
    <row r="8" customFormat="false" ht="15" hidden="false" customHeight="false" outlineLevel="0" collapsed="false">
      <c r="A8" s="4"/>
      <c r="B8" s="11"/>
      <c r="C8" s="14" t="s">
        <v>2</v>
      </c>
      <c r="D8" s="12"/>
      <c r="E8" s="12"/>
      <c r="F8" s="12"/>
      <c r="G8" s="12"/>
      <c r="H8" s="12"/>
      <c r="I8" s="12"/>
      <c r="J8" s="12"/>
      <c r="K8" s="13"/>
      <c r="L8" s="5"/>
      <c r="M8" s="7"/>
    </row>
    <row r="9" customFormat="false" ht="15" hidden="false" customHeight="false" outlineLevel="0" collapsed="false">
      <c r="A9" s="4"/>
      <c r="B9" s="11"/>
      <c r="C9" s="12"/>
      <c r="D9" s="12"/>
      <c r="E9" s="12"/>
      <c r="F9" s="12"/>
      <c r="G9" s="12"/>
      <c r="H9" s="12"/>
      <c r="I9" s="12"/>
      <c r="J9" s="12"/>
      <c r="K9" s="13"/>
      <c r="L9" s="5"/>
      <c r="M9" s="7"/>
    </row>
    <row r="10" customFormat="false" ht="15" hidden="false" customHeight="false" outlineLevel="0" collapsed="false">
      <c r="A10" s="4"/>
      <c r="B10" s="11"/>
      <c r="C10" s="14" t="s">
        <v>3</v>
      </c>
      <c r="D10" s="12"/>
      <c r="E10" s="12"/>
      <c r="F10" s="12"/>
      <c r="G10" s="12"/>
      <c r="H10" s="12"/>
      <c r="I10" s="12"/>
      <c r="J10" s="12"/>
      <c r="K10" s="13"/>
      <c r="L10" s="5"/>
      <c r="M10" s="7"/>
    </row>
    <row r="11" customFormat="false" ht="15" hidden="false" customHeight="false" outlineLevel="0" collapsed="false">
      <c r="A11" s="4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5"/>
      <c r="M11" s="7"/>
    </row>
    <row r="12" customFormat="false" ht="15" hidden="false" customHeight="false" outlineLevel="0" collapsed="false">
      <c r="A12" s="4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5"/>
      <c r="M12" s="7"/>
    </row>
    <row r="13" customFormat="false" ht="15" hidden="false" customHeight="false" outlineLevel="0" collapsed="false">
      <c r="A13" s="4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5"/>
      <c r="M13" s="7"/>
    </row>
    <row r="14" customFormat="false" ht="15.75" hidden="false" customHeight="false" outlineLevel="0" collapsed="false">
      <c r="A14" s="4"/>
      <c r="B14" s="15"/>
      <c r="C14" s="16"/>
      <c r="D14" s="16"/>
      <c r="E14" s="16"/>
      <c r="F14" s="16"/>
      <c r="G14" s="16"/>
      <c r="H14" s="16"/>
      <c r="I14" s="16"/>
      <c r="J14" s="16"/>
      <c r="K14" s="17"/>
      <c r="L14" s="5"/>
      <c r="M14" s="7"/>
    </row>
    <row r="15" customFormat="false" ht="15" hidden="false" customHeight="false" outlineLevel="0" collapsed="false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7"/>
    </row>
    <row r="16" customFormat="false" ht="15" hidden="false" customHeight="false" outlineLevel="0" collapsed="false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7"/>
    </row>
    <row r="17" customFormat="false" ht="15" hidden="false" customHeight="false" outlineLevel="0" collapsed="false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7"/>
    </row>
    <row r="18" customFormat="false" ht="15.75" hidden="false" customHeight="false" outlineLevel="0" collapsed="false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/>
    </row>
  </sheetData>
  <hyperlinks>
    <hyperlink ref="C6" location="'TELA DE SAIDA'!A1" display="Saida Material"/>
    <hyperlink ref="C8" location="'TELA DE ENTRADA'!A1" display="Entrada Material"/>
    <hyperlink ref="C10" location="ESTOQUE!A1" display="Estoque"/>
  </hyperlink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L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4" activeCellId="1" sqref="E:E F4"/>
    </sheetView>
  </sheetViews>
  <sheetFormatPr defaultRowHeight="15" zeroHeight="false" outlineLevelRow="0" outlineLevelCol="0"/>
  <cols>
    <col collapsed="false" customWidth="true" hidden="false" outlineLevel="0" max="1" min="1" style="21" width="18.28"/>
    <col collapsed="false" customWidth="true" hidden="false" outlineLevel="0" max="2" min="2" style="21" width="12.85"/>
    <col collapsed="false" customWidth="true" hidden="false" outlineLevel="0" max="3" min="3" style="21" width="21.28"/>
    <col collapsed="false" customWidth="true" hidden="false" outlineLevel="0" max="4" min="4" style="21" width="15.71"/>
    <col collapsed="false" customWidth="true" hidden="false" outlineLevel="0" max="5" min="5" style="21" width="9.14"/>
    <col collapsed="false" customWidth="true" hidden="false" outlineLevel="0" max="6" min="6" style="21" width="14.43"/>
    <col collapsed="false" customWidth="true" hidden="false" outlineLevel="0" max="7" min="7" style="21" width="10.71"/>
    <col collapsed="false" customWidth="true" hidden="false" outlineLevel="0" max="8" min="8" style="21" width="13.85"/>
    <col collapsed="false" customWidth="true" hidden="false" outlineLevel="0" max="9" min="9" style="21" width="9.14"/>
    <col collapsed="false" customWidth="true" hidden="false" outlineLevel="0" max="12" min="10" style="22" width="9.14"/>
    <col collapsed="false" customWidth="true" hidden="false" outlineLevel="0" max="13" min="13" style="22" width="12.57"/>
    <col collapsed="false" customWidth="true" hidden="false" outlineLevel="0" max="30" min="14" style="22" width="9.14"/>
    <col collapsed="false" customWidth="true" hidden="false" outlineLevel="0" max="1025" min="31" style="21" width="9.14"/>
  </cols>
  <sheetData>
    <row r="1" customFormat="false" ht="15.75" hidden="false" customHeight="false" outlineLevel="0" collapsed="false"/>
    <row r="2" customFormat="false" ht="5.25" hidden="false" customHeight="true" outlineLevel="0" collapsed="false">
      <c r="B2" s="23"/>
      <c r="C2" s="24"/>
      <c r="D2" s="24"/>
      <c r="E2" s="24"/>
      <c r="F2" s="24"/>
      <c r="G2" s="24"/>
      <c r="H2" s="24"/>
      <c r="I2" s="25"/>
    </row>
    <row r="3" customFormat="false" ht="6.75" hidden="false" customHeight="true" outlineLevel="0" collapsed="false">
      <c r="B3" s="26"/>
      <c r="C3" s="27"/>
      <c r="D3" s="27"/>
      <c r="E3" s="27"/>
      <c r="F3" s="27"/>
      <c r="G3" s="28"/>
      <c r="H3" s="28"/>
      <c r="I3" s="29"/>
    </row>
    <row r="4" customFormat="false" ht="15" hidden="false" customHeight="false" outlineLevel="0" collapsed="false">
      <c r="B4" s="30" t="s">
        <v>4</v>
      </c>
      <c r="C4" s="31"/>
      <c r="D4" s="27"/>
      <c r="E4" s="32" t="s">
        <v>5</v>
      </c>
      <c r="F4" s="33"/>
      <c r="G4" s="28"/>
      <c r="H4" s="28"/>
      <c r="I4" s="29"/>
    </row>
    <row r="5" customFormat="false" ht="15" hidden="false" customHeight="false" outlineLevel="0" collapsed="false">
      <c r="B5" s="26"/>
      <c r="C5" s="27"/>
      <c r="D5" s="27"/>
      <c r="E5" s="27"/>
      <c r="F5" s="27"/>
      <c r="G5" s="28"/>
      <c r="H5" s="28"/>
      <c r="I5" s="29"/>
    </row>
    <row r="6" customFormat="false" ht="15" hidden="false" customHeight="false" outlineLevel="0" collapsed="false">
      <c r="B6" s="26"/>
      <c r="C6" s="27"/>
      <c r="D6" s="27"/>
      <c r="E6" s="27"/>
      <c r="F6" s="27"/>
      <c r="G6" s="28"/>
      <c r="H6" s="28"/>
      <c r="I6" s="29"/>
      <c r="K6" s="34" t="e">
        <f aca="false">VLOOKUP(C4,ESTOQUE!A2:B219,2,0)</f>
        <v>#N/A</v>
      </c>
      <c r="L6" s="34"/>
    </row>
    <row r="7" customFormat="false" ht="15" hidden="false" customHeight="false" outlineLevel="0" collapsed="false">
      <c r="B7" s="30" t="s">
        <v>6</v>
      </c>
      <c r="C7" s="35"/>
      <c r="D7" s="35"/>
      <c r="E7" s="27"/>
      <c r="F7" s="32" t="s">
        <v>7</v>
      </c>
      <c r="H7" s="28"/>
      <c r="I7" s="29"/>
      <c r="K7" s="34"/>
      <c r="L7" s="34"/>
    </row>
    <row r="8" customFormat="false" ht="15" hidden="false" customHeight="false" outlineLevel="0" collapsed="false">
      <c r="B8" s="26"/>
      <c r="C8" s="27"/>
      <c r="D8" s="27"/>
      <c r="E8" s="27"/>
      <c r="F8" s="27"/>
      <c r="G8" s="28"/>
      <c r="H8" s="28"/>
      <c r="I8" s="29"/>
      <c r="K8" s="34"/>
      <c r="L8" s="34"/>
    </row>
    <row r="9" customFormat="false" ht="15" hidden="false" customHeight="false" outlineLevel="0" collapsed="false">
      <c r="B9" s="26"/>
      <c r="C9" s="27"/>
      <c r="D9" s="27"/>
      <c r="E9" s="27"/>
      <c r="F9" s="27"/>
      <c r="G9" s="28"/>
      <c r="H9" s="28"/>
      <c r="I9" s="29"/>
      <c r="K9" s="34"/>
      <c r="L9" s="34"/>
    </row>
    <row r="10" customFormat="false" ht="15" hidden="false" customHeight="false" outlineLevel="0" collapsed="false">
      <c r="B10" s="30" t="s">
        <v>8</v>
      </c>
      <c r="C10" s="36"/>
      <c r="D10" s="27"/>
      <c r="E10" s="27"/>
      <c r="F10" s="32" t="s">
        <v>9</v>
      </c>
      <c r="G10" s="27" t="n">
        <v>2</v>
      </c>
      <c r="H10" s="37"/>
      <c r="I10" s="29"/>
      <c r="K10" s="34" t="str">
        <f aca="false">VLOOKUP(G10,MOT!A2:B220,2,0)</f>
        <v>CHAMADO</v>
      </c>
      <c r="L10" s="34"/>
    </row>
    <row r="11" customFormat="false" ht="15" hidden="false" customHeight="false" outlineLevel="0" collapsed="false">
      <c r="B11" s="26"/>
      <c r="C11" s="27"/>
      <c r="D11" s="27"/>
      <c r="E11" s="27"/>
      <c r="F11" s="27"/>
      <c r="G11" s="28"/>
      <c r="H11" s="28"/>
      <c r="I11" s="29"/>
      <c r="K11" s="34"/>
      <c r="L11" s="34"/>
    </row>
    <row r="12" customFormat="false" ht="15" hidden="false" customHeight="false" outlineLevel="0" collapsed="false">
      <c r="B12" s="26"/>
      <c r="C12" s="27"/>
      <c r="D12" s="27"/>
      <c r="E12" s="27"/>
      <c r="F12" s="27"/>
      <c r="G12" s="28"/>
      <c r="H12" s="28"/>
      <c r="I12" s="29"/>
      <c r="K12" s="34"/>
      <c r="L12" s="34"/>
    </row>
    <row r="13" customFormat="false" ht="26.25" hidden="false" customHeight="true" outlineLevel="0" collapsed="false">
      <c r="B13" s="30" t="s">
        <v>10</v>
      </c>
      <c r="C13" s="38"/>
      <c r="D13" s="28"/>
      <c r="E13" s="28"/>
      <c r="F13" s="28"/>
      <c r="G13" s="28"/>
      <c r="H13" s="28"/>
      <c r="I13" s="29"/>
      <c r="K13" s="34"/>
      <c r="L13" s="34"/>
    </row>
    <row r="14" customFormat="false" ht="15" hidden="false" customHeight="false" outlineLevel="0" collapsed="false">
      <c r="B14" s="39"/>
      <c r="C14" s="40"/>
      <c r="D14" s="40"/>
      <c r="E14" s="28"/>
      <c r="F14" s="28"/>
      <c r="G14" s="28"/>
      <c r="H14" s="28"/>
      <c r="I14" s="29"/>
    </row>
    <row r="15" customFormat="false" ht="15" hidden="false" customHeight="false" outlineLevel="0" collapsed="false">
      <c r="B15" s="39"/>
      <c r="C15" s="40"/>
      <c r="D15" s="28"/>
      <c r="E15" s="28"/>
      <c r="F15" s="28"/>
      <c r="G15" s="28"/>
      <c r="H15" s="28"/>
      <c r="I15" s="29"/>
    </row>
    <row r="16" customFormat="false" ht="15" hidden="false" customHeight="false" outlineLevel="0" collapsed="false">
      <c r="B16" s="39"/>
      <c r="C16" s="28"/>
      <c r="D16" s="28"/>
      <c r="E16" s="28"/>
      <c r="F16" s="28"/>
      <c r="G16" s="28"/>
      <c r="H16" s="28"/>
      <c r="I16" s="29"/>
    </row>
    <row r="17" customFormat="false" ht="15" hidden="false" customHeight="false" outlineLevel="0" collapsed="false">
      <c r="B17" s="39"/>
      <c r="C17" s="28"/>
      <c r="D17" s="28"/>
      <c r="E17" s="28"/>
      <c r="F17" s="28"/>
      <c r="G17" s="28"/>
      <c r="H17" s="28"/>
      <c r="I17" s="29"/>
    </row>
    <row r="18" customFormat="false" ht="15" hidden="false" customHeight="false" outlineLevel="0" collapsed="false">
      <c r="B18" s="39"/>
      <c r="C18" s="28"/>
      <c r="D18" s="28"/>
      <c r="E18" s="28"/>
      <c r="F18" s="28"/>
      <c r="G18" s="28"/>
      <c r="H18" s="28"/>
      <c r="I18" s="29"/>
    </row>
    <row r="19" customFormat="false" ht="15" hidden="false" customHeight="false" outlineLevel="0" collapsed="false">
      <c r="B19" s="39"/>
      <c r="C19" s="28"/>
      <c r="D19" s="28"/>
      <c r="E19" s="28"/>
      <c r="F19" s="28"/>
      <c r="G19" s="28"/>
      <c r="H19" s="28"/>
      <c r="I19" s="29"/>
    </row>
    <row r="20" customFormat="false" ht="15" hidden="false" customHeight="false" outlineLevel="0" collapsed="false">
      <c r="B20" s="39"/>
      <c r="C20" s="28"/>
      <c r="D20" s="28"/>
      <c r="E20" s="28"/>
      <c r="F20" s="28"/>
      <c r="G20" s="28"/>
      <c r="H20" s="28"/>
      <c r="I20" s="29"/>
    </row>
    <row r="21" customFormat="false" ht="15" hidden="false" customHeight="false" outlineLevel="0" collapsed="false">
      <c r="B21" s="39"/>
      <c r="C21" s="28"/>
      <c r="D21" s="28"/>
      <c r="E21" s="28"/>
      <c r="F21" s="28"/>
      <c r="G21" s="28"/>
      <c r="H21" s="28"/>
      <c r="I21" s="29"/>
    </row>
    <row r="22" customFormat="false" ht="15.75" hidden="false" customHeight="false" outlineLevel="0" collapsed="false">
      <c r="B22" s="41"/>
      <c r="C22" s="42"/>
      <c r="D22" s="42"/>
      <c r="E22" s="42"/>
      <c r="F22" s="42"/>
      <c r="G22" s="42"/>
      <c r="H22" s="42"/>
      <c r="I22" s="43"/>
    </row>
  </sheetData>
  <mergeCells count="1">
    <mergeCell ref="C7:D7"/>
  </mergeCells>
  <dataValidations count="1">
    <dataValidation allowBlank="true" error="QUANTIDADE SOLICITADA MAIOR QUE O SALDO EM ESTOQUE" errorTitle="ATENÇÃO" operator="between" showDropDown="false" showErrorMessage="true" showInputMessage="true" sqref="F7" type="custom">
      <formula1>#ref!&lt;=0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1" sqref="E:E C4"/>
    </sheetView>
  </sheetViews>
  <sheetFormatPr defaultRowHeight="15" zeroHeight="false" outlineLevelRow="0" outlineLevelCol="0"/>
  <cols>
    <col collapsed="false" customWidth="true" hidden="false" outlineLevel="0" max="1" min="1" style="5" width="9.14"/>
    <col collapsed="false" customWidth="true" hidden="false" outlineLevel="0" max="2" min="2" style="5" width="12.85"/>
    <col collapsed="false" customWidth="true" hidden="false" outlineLevel="0" max="3" min="3" style="5" width="26.72"/>
    <col collapsed="false" customWidth="true" hidden="false" outlineLevel="0" max="4" min="4" style="5" width="18.43"/>
    <col collapsed="false" customWidth="true" hidden="false" outlineLevel="0" max="5" min="5" style="5" width="9.14"/>
    <col collapsed="false" customWidth="true" hidden="false" outlineLevel="0" max="6" min="6" style="5" width="14.43"/>
    <col collapsed="false" customWidth="true" hidden="false" outlineLevel="0" max="7" min="7" style="5" width="13.85"/>
    <col collapsed="false" customWidth="true" hidden="false" outlineLevel="0" max="11" min="8" style="5" width="9.14"/>
    <col collapsed="false" customWidth="true" hidden="false" outlineLevel="0" max="12" min="12" style="44" width="9.14"/>
    <col collapsed="false" customWidth="true" hidden="false" outlineLevel="0" max="1025" min="13" style="5" width="9.14"/>
  </cols>
  <sheetData>
    <row r="1" customFormat="false" ht="18" hidden="false" customHeight="true" outlineLevel="0" collapsed="false"/>
    <row r="2" customFormat="false" ht="15" hidden="false" customHeight="false" outlineLevel="0" collapsed="false">
      <c r="B2" s="45"/>
      <c r="C2" s="46"/>
      <c r="D2" s="46"/>
      <c r="E2" s="46"/>
      <c r="F2" s="46"/>
      <c r="G2" s="46"/>
      <c r="H2" s="46"/>
      <c r="I2" s="46"/>
      <c r="J2" s="47"/>
      <c r="O2" s="48" t="s">
        <v>11</v>
      </c>
    </row>
    <row r="3" customFormat="false" ht="15" hidden="false" customHeight="false" outlineLevel="0" collapsed="false">
      <c r="B3" s="49"/>
      <c r="C3" s="50"/>
      <c r="D3" s="50"/>
      <c r="E3" s="50"/>
      <c r="F3" s="50"/>
      <c r="G3" s="51"/>
      <c r="H3" s="51"/>
      <c r="I3" s="51"/>
      <c r="J3" s="52"/>
      <c r="M3" s="48"/>
      <c r="N3" s="48"/>
      <c r="O3" s="48" t="s">
        <v>12</v>
      </c>
    </row>
    <row r="4" customFormat="false" ht="15" hidden="false" customHeight="false" outlineLevel="0" collapsed="false">
      <c r="B4" s="53" t="s">
        <v>4</v>
      </c>
      <c r="C4" s="54"/>
      <c r="D4" s="50"/>
      <c r="E4" s="50"/>
      <c r="F4" s="55" t="s">
        <v>5</v>
      </c>
      <c r="G4" s="33" t="n">
        <v>43749</v>
      </c>
      <c r="H4" s="51"/>
      <c r="I4" s="51"/>
      <c r="J4" s="52"/>
      <c r="M4" s="48"/>
      <c r="N4" s="48"/>
      <c r="O4" s="48" t="s">
        <v>13</v>
      </c>
    </row>
    <row r="5" customFormat="false" ht="15" hidden="false" customHeight="false" outlineLevel="0" collapsed="false">
      <c r="B5" s="49"/>
      <c r="C5" s="50"/>
      <c r="D5" s="50"/>
      <c r="E5" s="50"/>
      <c r="F5" s="50"/>
      <c r="G5" s="51"/>
      <c r="H5" s="51"/>
      <c r="I5" s="51"/>
      <c r="J5" s="52"/>
      <c r="L5" s="48" t="e">
        <f aca="false">VLOOKUP(C4,ESTOQUE!A2:B219,2,0)</f>
        <v>#N/A</v>
      </c>
      <c r="M5" s="48"/>
      <c r="N5" s="48"/>
      <c r="O5" s="48" t="s">
        <v>14</v>
      </c>
    </row>
    <row r="6" customFormat="false" ht="15" hidden="false" customHeight="false" outlineLevel="0" collapsed="false">
      <c r="B6" s="49"/>
      <c r="C6" s="50"/>
      <c r="D6" s="50"/>
      <c r="E6" s="50"/>
      <c r="F6" s="50"/>
      <c r="G6" s="51"/>
      <c r="H6" s="51"/>
      <c r="I6" s="51"/>
      <c r="J6" s="52"/>
      <c r="M6" s="48"/>
      <c r="N6" s="48"/>
      <c r="O6" s="48" t="s">
        <v>15</v>
      </c>
    </row>
    <row r="7" customFormat="false" ht="15" hidden="false" customHeight="false" outlineLevel="0" collapsed="false">
      <c r="B7" s="53" t="s">
        <v>6</v>
      </c>
      <c r="C7" s="56"/>
      <c r="D7" s="56"/>
      <c r="E7" s="50"/>
      <c r="F7" s="55" t="s">
        <v>7</v>
      </c>
      <c r="H7" s="51"/>
      <c r="I7" s="51"/>
      <c r="J7" s="52"/>
      <c r="M7" s="48"/>
      <c r="N7" s="48"/>
    </row>
    <row r="8" customFormat="false" ht="15" hidden="false" customHeight="false" outlineLevel="0" collapsed="false">
      <c r="B8" s="49"/>
      <c r="C8" s="50"/>
      <c r="D8" s="50"/>
      <c r="E8" s="50"/>
      <c r="F8" s="50"/>
      <c r="G8" s="51"/>
      <c r="H8" s="51"/>
      <c r="I8" s="51"/>
      <c r="J8" s="52"/>
      <c r="L8" s="48" t="str">
        <f aca="false">VLOOKUP(G10,MOT!A2:B220,2,0)</f>
        <v>NOTA FISCAL</v>
      </c>
      <c r="M8" s="48"/>
      <c r="N8" s="48"/>
    </row>
    <row r="9" customFormat="false" ht="15" hidden="false" customHeight="false" outlineLevel="0" collapsed="false">
      <c r="B9" s="49"/>
      <c r="C9" s="50"/>
      <c r="D9" s="50"/>
      <c r="E9" s="50"/>
      <c r="F9" s="50"/>
      <c r="G9" s="51"/>
      <c r="H9" s="51"/>
      <c r="I9" s="51"/>
      <c r="J9" s="52"/>
      <c r="M9" s="48"/>
      <c r="N9" s="48"/>
    </row>
    <row r="10" customFormat="false" ht="15" hidden="false" customHeight="false" outlineLevel="0" collapsed="false">
      <c r="A10" s="5" t="s">
        <v>16</v>
      </c>
      <c r="B10" s="53" t="s">
        <v>8</v>
      </c>
      <c r="C10" s="36"/>
      <c r="D10" s="50"/>
      <c r="E10" s="50"/>
      <c r="F10" s="55" t="s">
        <v>9</v>
      </c>
      <c r="G10" s="57" t="n">
        <v>5</v>
      </c>
      <c r="H10" s="51"/>
      <c r="I10" s="51"/>
      <c r="J10" s="52"/>
      <c r="M10" s="48"/>
      <c r="N10" s="48"/>
    </row>
    <row r="11" customFormat="false" ht="15" hidden="false" customHeight="false" outlineLevel="0" collapsed="false">
      <c r="B11" s="49"/>
      <c r="C11" s="50"/>
      <c r="D11" s="50"/>
      <c r="E11" s="50"/>
      <c r="F11" s="50"/>
      <c r="G11" s="51"/>
      <c r="H11" s="51"/>
      <c r="I11" s="51"/>
      <c r="J11" s="52"/>
      <c r="M11" s="48"/>
      <c r="N11" s="48"/>
    </row>
    <row r="12" customFormat="false" ht="15" hidden="false" customHeight="false" outlineLevel="0" collapsed="false">
      <c r="B12" s="49"/>
      <c r="C12" s="50"/>
      <c r="D12" s="50"/>
      <c r="E12" s="50"/>
      <c r="F12" s="50"/>
      <c r="G12" s="51"/>
      <c r="H12" s="51"/>
      <c r="I12" s="51"/>
      <c r="J12" s="52"/>
    </row>
    <row r="13" customFormat="false" ht="41.25" hidden="false" customHeight="true" outlineLevel="0" collapsed="false">
      <c r="B13" s="53" t="s">
        <v>10</v>
      </c>
      <c r="C13" s="58"/>
      <c r="D13" s="59"/>
      <c r="E13" s="59"/>
      <c r="F13" s="59"/>
      <c r="G13" s="51"/>
      <c r="H13" s="51"/>
      <c r="I13" s="51"/>
      <c r="J13" s="52"/>
    </row>
    <row r="14" customFormat="false" ht="15" hidden="false" customHeight="false" outlineLevel="0" collapsed="false">
      <c r="B14" s="60"/>
      <c r="C14" s="51"/>
      <c r="D14" s="51"/>
      <c r="E14" s="51"/>
      <c r="F14" s="51"/>
      <c r="G14" s="51"/>
      <c r="H14" s="51"/>
      <c r="I14" s="51"/>
      <c r="J14" s="52"/>
    </row>
    <row r="15" customFormat="false" ht="15" hidden="false" customHeight="false" outlineLevel="0" collapsed="false">
      <c r="B15" s="60"/>
      <c r="C15" s="51"/>
      <c r="D15" s="51"/>
      <c r="E15" s="51"/>
      <c r="F15" s="51"/>
      <c r="G15" s="51"/>
      <c r="H15" s="51"/>
      <c r="I15" s="51"/>
      <c r="J15" s="52"/>
    </row>
    <row r="16" customFormat="false" ht="15" hidden="false" customHeight="false" outlineLevel="0" collapsed="false">
      <c r="B16" s="60"/>
      <c r="C16" s="51"/>
      <c r="D16" s="51"/>
      <c r="E16" s="51"/>
      <c r="F16" s="51"/>
      <c r="G16" s="51"/>
      <c r="H16" s="51"/>
      <c r="I16" s="51"/>
      <c r="J16" s="52"/>
    </row>
    <row r="17" customFormat="false" ht="15" hidden="false" customHeight="false" outlineLevel="0" collapsed="false">
      <c r="B17" s="60"/>
      <c r="C17" s="51"/>
      <c r="D17" s="51"/>
      <c r="E17" s="51"/>
      <c r="F17" s="51"/>
      <c r="G17" s="51"/>
      <c r="H17" s="51"/>
      <c r="I17" s="51"/>
      <c r="J17" s="52"/>
    </row>
    <row r="18" customFormat="false" ht="15" hidden="false" customHeight="false" outlineLevel="0" collapsed="false">
      <c r="B18" s="60"/>
      <c r="C18" s="51"/>
      <c r="D18" s="51"/>
      <c r="E18" s="51"/>
      <c r="F18" s="51"/>
      <c r="G18" s="51"/>
      <c r="H18" s="51"/>
      <c r="I18" s="51"/>
      <c r="J18" s="52"/>
    </row>
    <row r="19" customFormat="false" ht="15" hidden="false" customHeight="false" outlineLevel="0" collapsed="false">
      <c r="B19" s="60"/>
      <c r="C19" s="51"/>
      <c r="D19" s="51"/>
      <c r="E19" s="51"/>
      <c r="F19" s="51"/>
      <c r="G19" s="51"/>
      <c r="H19" s="51"/>
      <c r="I19" s="51"/>
      <c r="J19" s="52"/>
    </row>
    <row r="20" customFormat="false" ht="15" hidden="false" customHeight="false" outlineLevel="0" collapsed="false">
      <c r="B20" s="60"/>
      <c r="C20" s="51"/>
      <c r="D20" s="51"/>
      <c r="E20" s="51"/>
      <c r="F20" s="51"/>
      <c r="G20" s="51"/>
      <c r="H20" s="51"/>
      <c r="I20" s="51"/>
      <c r="J20" s="52"/>
    </row>
    <row r="21" customFormat="false" ht="15.75" hidden="false" customHeight="false" outlineLevel="0" collapsed="false">
      <c r="B21" s="61"/>
      <c r="C21" s="62"/>
      <c r="D21" s="62"/>
      <c r="E21" s="62"/>
      <c r="F21" s="62"/>
      <c r="G21" s="62"/>
      <c r="H21" s="62"/>
      <c r="I21" s="62"/>
      <c r="J21" s="63"/>
    </row>
  </sheetData>
  <mergeCells count="1">
    <mergeCell ref="C7:D7"/>
  </mergeCells>
  <dataValidations count="1">
    <dataValidation allowBlank="true" error="QUANTIDADE SOLICITADA MAIOR QUE O SALDO EM ESTOQUE" errorTitle="ATENÇÃO" operator="between" showDropDown="false" showErrorMessage="true" showInputMessage="true" sqref="F7" type="custom">
      <formula1>$H$2&lt;=0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4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pane xSplit="0" ySplit="1" topLeftCell="A70" activePane="bottomLeft" state="frozen"/>
      <selection pane="topLeft" activeCell="A1" activeCellId="0" sqref="A1"/>
      <selection pane="bottomLeft" activeCell="A1" activeCellId="1" sqref="E:E A1"/>
    </sheetView>
  </sheetViews>
  <sheetFormatPr defaultRowHeight="15" zeroHeight="false" outlineLevelRow="0" outlineLevelCol="0"/>
  <cols>
    <col collapsed="false" customWidth="true" hidden="false" outlineLevel="0" max="1" min="1" style="0" width="14.43"/>
    <col collapsed="false" customWidth="true" hidden="false" outlineLevel="0" max="2" min="2" style="0" width="64.29"/>
    <col collapsed="false" customWidth="true" hidden="false" outlineLevel="0" max="3" min="3" style="64" width="8.14"/>
    <col collapsed="false" customWidth="true" hidden="false" outlineLevel="0" max="4" min="4" style="65" width="13.85"/>
    <col collapsed="false" customWidth="true" hidden="false" outlineLevel="0" max="5" min="5" style="66" width="20.43"/>
    <col collapsed="false" customWidth="true" hidden="false" outlineLevel="0" max="6" min="6" style="66" width="23.15"/>
    <col collapsed="false" customWidth="true" hidden="false" outlineLevel="0" max="7" min="7" style="66" width="25.15"/>
    <col collapsed="false" customWidth="true" hidden="false" outlineLevel="0" max="8" min="8" style="66" width="21.43"/>
    <col collapsed="false" customWidth="true" hidden="false" outlineLevel="0" max="1025" min="9" style="0" width="8.49"/>
  </cols>
  <sheetData>
    <row r="1" customFormat="false" ht="45.75" hidden="false" customHeight="true" outlineLevel="0" collapsed="false">
      <c r="A1" s="67" t="s">
        <v>4</v>
      </c>
      <c r="B1" s="67" t="s">
        <v>17</v>
      </c>
      <c r="C1" s="67" t="s">
        <v>18</v>
      </c>
      <c r="D1" s="68" t="s">
        <v>8</v>
      </c>
      <c r="E1" s="69" t="s">
        <v>7</v>
      </c>
      <c r="F1" s="69" t="s">
        <v>19</v>
      </c>
      <c r="G1" s="69" t="s">
        <v>20</v>
      </c>
      <c r="H1" s="69" t="s">
        <v>21</v>
      </c>
    </row>
    <row r="2" customFormat="false" ht="18.75" hidden="false" customHeight="false" outlineLevel="0" collapsed="false">
      <c r="A2" s="64" t="n">
        <v>1</v>
      </c>
      <c r="B2" s="70" t="s">
        <v>22</v>
      </c>
      <c r="C2" s="71" t="s">
        <v>23</v>
      </c>
      <c r="D2" s="72" t="n">
        <v>1</v>
      </c>
      <c r="E2" s="66" t="n">
        <v>1</v>
      </c>
      <c r="F2" s="66" t="n">
        <f aca="false">SUMIF(tbentrada[CODIGO],tbestoque[CODIGO],tbentrada[QUANTIDADE])</f>
        <v>0</v>
      </c>
      <c r="G2" s="66" t="n">
        <f aca="false">SUMIF(tbsaida[CODIGO],tbestoque[CODIGO],tbsaida[QUANTIDADE])</f>
        <v>0</v>
      </c>
      <c r="H2" s="66" t="n">
        <f aca="false">E2+F2-G2</f>
        <v>1</v>
      </c>
    </row>
    <row r="3" customFormat="false" ht="18.75" hidden="false" customHeight="false" outlineLevel="0" collapsed="false">
      <c r="A3" s="64" t="n">
        <v>2</v>
      </c>
      <c r="B3" s="73" t="s">
        <v>24</v>
      </c>
      <c r="C3" s="71" t="s">
        <v>23</v>
      </c>
      <c r="D3" s="72" t="n">
        <v>1</v>
      </c>
      <c r="E3" s="66" t="n">
        <v>4</v>
      </c>
      <c r="F3" s="66" t="n">
        <f aca="false">SUMIF(tbentrada[CODIGO],tbestoque[CODIGO],tbentrada[QUANTIDADE])</f>
        <v>0</v>
      </c>
      <c r="G3" s="66" t="n">
        <f aca="false">SUMIF(tbsaida[CODIGO],tbestoque[CODIGO],tbsaida[QUANTIDADE])</f>
        <v>0</v>
      </c>
      <c r="H3" s="66" t="n">
        <f aca="false">E3+F3-G3</f>
        <v>4</v>
      </c>
    </row>
    <row r="4" customFormat="false" ht="18.75" hidden="false" customHeight="false" outlineLevel="0" collapsed="false">
      <c r="A4" s="64" t="n">
        <v>3</v>
      </c>
      <c r="B4" s="73" t="s">
        <v>25</v>
      </c>
      <c r="C4" s="71" t="n">
        <v>15</v>
      </c>
      <c r="D4" s="72" t="n">
        <v>1</v>
      </c>
      <c r="E4" s="66" t="n">
        <v>35</v>
      </c>
      <c r="F4" s="66" t="n">
        <f aca="false">SUMIF(tbentrada[CODIGO],tbestoque[CODIGO],tbentrada[QUANTIDADE])</f>
        <v>0</v>
      </c>
      <c r="G4" s="66" t="n">
        <f aca="false">SUMIF(tbsaida[CODIGO],tbestoque[CODIGO],tbsaida[QUANTIDADE])</f>
        <v>0</v>
      </c>
      <c r="H4" s="66" t="n">
        <f aca="false">E4+F4-G4</f>
        <v>35</v>
      </c>
    </row>
    <row r="5" customFormat="false" ht="18.75" hidden="false" customHeight="false" outlineLevel="0" collapsed="false">
      <c r="A5" s="64" t="n">
        <v>4</v>
      </c>
      <c r="B5" s="73" t="s">
        <v>26</v>
      </c>
      <c r="C5" s="71" t="s">
        <v>23</v>
      </c>
      <c r="D5" s="72" t="n">
        <v>1</v>
      </c>
      <c r="E5" s="66" t="n">
        <v>0</v>
      </c>
      <c r="F5" s="66" t="n">
        <f aca="false">SUMIF(tbentrada[CODIGO],tbestoque[CODIGO],tbentrada[QUANTIDADE])</f>
        <v>0</v>
      </c>
      <c r="G5" s="66" t="n">
        <f aca="false">SUMIF(tbsaida[CODIGO],tbestoque[CODIGO],tbsaida[QUANTIDADE])</f>
        <v>0</v>
      </c>
      <c r="H5" s="66" t="n">
        <f aca="false">E5+F5-G5</f>
        <v>0</v>
      </c>
    </row>
    <row r="6" customFormat="false" ht="18.75" hidden="false" customHeight="false" outlineLevel="0" collapsed="false">
      <c r="A6" s="64" t="n">
        <v>5</v>
      </c>
      <c r="B6" s="73" t="s">
        <v>27</v>
      </c>
      <c r="C6" s="71" t="s">
        <v>23</v>
      </c>
      <c r="D6" s="72" t="n">
        <v>1</v>
      </c>
      <c r="E6" s="66" t="n">
        <v>0</v>
      </c>
      <c r="F6" s="66" t="n">
        <f aca="false">SUMIF(tbentrada[CODIGO],tbestoque[CODIGO],tbentrada[QUANTIDADE])</f>
        <v>0</v>
      </c>
      <c r="G6" s="66" t="n">
        <f aca="false">SUMIF(tbsaida[CODIGO],tbestoque[CODIGO],tbsaida[QUANTIDADE])</f>
        <v>0</v>
      </c>
      <c r="H6" s="66" t="n">
        <f aca="false">E6+F6-G6</f>
        <v>0</v>
      </c>
    </row>
    <row r="7" customFormat="false" ht="18.75" hidden="false" customHeight="false" outlineLevel="0" collapsed="false">
      <c r="A7" s="64" t="n">
        <v>6</v>
      </c>
      <c r="B7" s="73" t="s">
        <v>28</v>
      </c>
      <c r="C7" s="71" t="s">
        <v>23</v>
      </c>
      <c r="D7" s="72" t="n">
        <v>1</v>
      </c>
      <c r="E7" s="66" t="n">
        <v>0</v>
      </c>
      <c r="F7" s="66" t="n">
        <f aca="false">SUMIF(tbentrada[CODIGO],tbestoque[CODIGO],tbentrada[QUANTIDADE])</f>
        <v>0</v>
      </c>
      <c r="G7" s="66" t="n">
        <f aca="false">SUMIF(tbsaida[CODIGO],tbestoque[CODIGO],tbsaida[QUANTIDADE])</f>
        <v>0</v>
      </c>
      <c r="H7" s="66" t="n">
        <f aca="false">E7+F7-G7</f>
        <v>0</v>
      </c>
    </row>
    <row r="8" customFormat="false" ht="18.75" hidden="false" customHeight="false" outlineLevel="0" collapsed="false">
      <c r="A8" s="64" t="n">
        <v>7</v>
      </c>
      <c r="B8" s="73" t="s">
        <v>29</v>
      </c>
      <c r="C8" s="71" t="s">
        <v>23</v>
      </c>
      <c r="D8" s="72" t="n">
        <v>1</v>
      </c>
      <c r="E8" s="66" t="n">
        <v>0</v>
      </c>
      <c r="F8" s="66" t="n">
        <f aca="false">SUMIF(tbentrada[CODIGO],tbestoque[CODIGO],tbentrada[QUANTIDADE])</f>
        <v>0</v>
      </c>
      <c r="G8" s="66" t="n">
        <f aca="false">SUMIF(tbsaida[CODIGO],tbestoque[CODIGO],tbsaida[QUANTIDADE])</f>
        <v>0</v>
      </c>
      <c r="H8" s="66" t="n">
        <f aca="false">E8+F8-G8</f>
        <v>0</v>
      </c>
    </row>
    <row r="9" customFormat="false" ht="18.75" hidden="false" customHeight="false" outlineLevel="0" collapsed="false">
      <c r="A9" s="64" t="n">
        <v>8</v>
      </c>
      <c r="B9" s="73" t="s">
        <v>30</v>
      </c>
      <c r="C9" s="71" t="s">
        <v>23</v>
      </c>
      <c r="D9" s="72" t="n">
        <v>1</v>
      </c>
      <c r="E9" s="66" t="n">
        <v>30</v>
      </c>
      <c r="F9" s="66" t="n">
        <f aca="false">SUMIF(tbentrada[CODIGO],tbestoque[CODIGO],tbentrada[QUANTIDADE])</f>
        <v>0</v>
      </c>
      <c r="G9" s="66" t="n">
        <f aca="false">SUMIF(tbsaida[CODIGO],tbestoque[CODIGO],tbsaida[QUANTIDADE])</f>
        <v>0</v>
      </c>
      <c r="H9" s="66" t="n">
        <f aca="false">E9+F9-G9</f>
        <v>30</v>
      </c>
    </row>
    <row r="10" customFormat="false" ht="18.75" hidden="false" customHeight="false" outlineLevel="0" collapsed="false">
      <c r="A10" s="64" t="n">
        <v>9</v>
      </c>
      <c r="B10" s="70" t="s">
        <v>31</v>
      </c>
      <c r="C10" s="71" t="s">
        <v>23</v>
      </c>
      <c r="D10" s="72" t="n">
        <v>1</v>
      </c>
      <c r="E10" s="66" t="n">
        <v>16</v>
      </c>
      <c r="F10" s="66" t="n">
        <f aca="false">SUMIF(tbentrada[CODIGO],tbestoque[CODIGO],tbentrada[QUANTIDADE])</f>
        <v>2</v>
      </c>
      <c r="G10" s="66" t="n">
        <f aca="false">SUMIF(tbsaida[CODIGO],tbestoque[CODIGO],tbsaida[QUANTIDADE])</f>
        <v>15</v>
      </c>
      <c r="H10" s="66" t="n">
        <f aca="false">E10+F10-G10</f>
        <v>3</v>
      </c>
    </row>
    <row r="11" customFormat="false" ht="18.75" hidden="false" customHeight="false" outlineLevel="0" collapsed="false">
      <c r="A11" s="64" t="n">
        <v>10</v>
      </c>
      <c r="B11" s="73" t="s">
        <v>32</v>
      </c>
      <c r="C11" s="71" t="s">
        <v>23</v>
      </c>
      <c r="D11" s="72" t="n">
        <v>1</v>
      </c>
      <c r="E11" s="66" t="n">
        <v>0</v>
      </c>
      <c r="F11" s="66" t="n">
        <f aca="false">SUMIF(tbentrada[CODIGO],tbestoque[CODIGO],tbentrada[QUANTIDADE])</f>
        <v>0</v>
      </c>
      <c r="G11" s="66" t="n">
        <f aca="false">SUMIF(tbsaida[CODIGO],tbestoque[CODIGO],tbsaida[QUANTIDADE])</f>
        <v>0</v>
      </c>
      <c r="H11" s="66" t="n">
        <f aca="false">E11+F11-G11</f>
        <v>0</v>
      </c>
    </row>
    <row r="12" customFormat="false" ht="18.75" hidden="false" customHeight="false" outlineLevel="0" collapsed="false">
      <c r="A12" s="64" t="n">
        <v>11</v>
      </c>
      <c r="B12" s="70" t="s">
        <v>33</v>
      </c>
      <c r="C12" s="71" t="s">
        <v>23</v>
      </c>
      <c r="D12" s="72" t="n">
        <v>1</v>
      </c>
      <c r="E12" s="66" t="n">
        <v>0</v>
      </c>
      <c r="F12" s="66" t="n">
        <f aca="false">SUMIF(tbentrada[CODIGO],tbestoque[CODIGO],tbentrada[QUANTIDADE])</f>
        <v>0</v>
      </c>
      <c r="G12" s="66" t="n">
        <f aca="false">SUMIF(tbsaida[CODIGO],tbestoque[CODIGO],tbsaida[QUANTIDADE])</f>
        <v>0</v>
      </c>
      <c r="H12" s="66" t="n">
        <f aca="false">E12+F12-G12</f>
        <v>0</v>
      </c>
    </row>
    <row r="13" customFormat="false" ht="18.75" hidden="false" customHeight="false" outlineLevel="0" collapsed="false">
      <c r="A13" s="64" t="n">
        <v>12</v>
      </c>
      <c r="B13" s="73" t="s">
        <v>34</v>
      </c>
      <c r="C13" s="71" t="s">
        <v>23</v>
      </c>
      <c r="D13" s="72" t="n">
        <v>1</v>
      </c>
      <c r="E13" s="66" t="n">
        <v>0</v>
      </c>
      <c r="F13" s="66" t="n">
        <f aca="false">SUMIF(tbentrada[CODIGO],tbestoque[CODIGO],tbentrada[QUANTIDADE])</f>
        <v>0</v>
      </c>
      <c r="G13" s="66" t="n">
        <f aca="false">SUMIF(tbsaida[CODIGO],tbestoque[CODIGO],tbsaida[QUANTIDADE])</f>
        <v>0</v>
      </c>
      <c r="H13" s="66" t="n">
        <f aca="false">E13+F13-G13</f>
        <v>0</v>
      </c>
    </row>
    <row r="14" customFormat="false" ht="18.75" hidden="false" customHeight="false" outlineLevel="0" collapsed="false">
      <c r="A14" s="64" t="n">
        <v>13</v>
      </c>
      <c r="B14" s="73" t="s">
        <v>35</v>
      </c>
      <c r="C14" s="71" t="s">
        <v>23</v>
      </c>
      <c r="D14" s="72" t="n">
        <v>1</v>
      </c>
      <c r="E14" s="66" t="n">
        <v>0</v>
      </c>
      <c r="F14" s="66" t="n">
        <f aca="false">SUMIF(tbentrada[CODIGO],tbestoque[CODIGO],tbentrada[QUANTIDADE])</f>
        <v>0</v>
      </c>
      <c r="G14" s="66" t="n">
        <f aca="false">SUMIF(tbsaida[CODIGO],tbestoque[CODIGO],tbsaida[QUANTIDADE])</f>
        <v>3</v>
      </c>
      <c r="H14" s="66" t="n">
        <f aca="false">E14+F14-G14</f>
        <v>-3</v>
      </c>
    </row>
    <row r="15" customFormat="false" ht="18.75" hidden="false" customHeight="false" outlineLevel="0" collapsed="false">
      <c r="A15" s="64" t="n">
        <v>14</v>
      </c>
      <c r="B15" s="73" t="s">
        <v>36</v>
      </c>
      <c r="C15" s="71" t="s">
        <v>23</v>
      </c>
      <c r="D15" s="72" t="n">
        <v>1</v>
      </c>
      <c r="E15" s="66" t="n">
        <v>6</v>
      </c>
      <c r="F15" s="66" t="n">
        <f aca="false">SUMIF(tbentrada[CODIGO],tbestoque[CODIGO],tbentrada[QUANTIDADE])</f>
        <v>0</v>
      </c>
      <c r="G15" s="66" t="n">
        <f aca="false">SUMIF(tbsaida[CODIGO],tbestoque[CODIGO],tbsaida[QUANTIDADE])</f>
        <v>0</v>
      </c>
      <c r="H15" s="66" t="n">
        <f aca="false">E15+F15-G15</f>
        <v>6</v>
      </c>
    </row>
    <row r="16" customFormat="false" ht="18.75" hidden="false" customHeight="false" outlineLevel="0" collapsed="false">
      <c r="A16" s="64" t="n">
        <v>15</v>
      </c>
      <c r="B16" s="73" t="s">
        <v>37</v>
      </c>
      <c r="C16" s="71" t="s">
        <v>23</v>
      </c>
      <c r="D16" s="72" t="n">
        <v>1</v>
      </c>
      <c r="E16" s="66" t="n">
        <v>17</v>
      </c>
      <c r="F16" s="66" t="n">
        <f aca="false">SUMIF(tbentrada[CODIGO],tbestoque[CODIGO],tbentrada[QUANTIDADE])</f>
        <v>0</v>
      </c>
      <c r="G16" s="66" t="n">
        <f aca="false">SUMIF(tbsaida[CODIGO],tbestoque[CODIGO],tbsaida[QUANTIDADE])</f>
        <v>0</v>
      </c>
      <c r="H16" s="66" t="n">
        <f aca="false">E16+F16-G16</f>
        <v>17</v>
      </c>
    </row>
    <row r="17" customFormat="false" ht="18.75" hidden="false" customHeight="false" outlineLevel="0" collapsed="false">
      <c r="A17" s="64" t="n">
        <v>16</v>
      </c>
      <c r="B17" s="73" t="s">
        <v>38</v>
      </c>
      <c r="C17" s="71" t="s">
        <v>23</v>
      </c>
      <c r="D17" s="72" t="n">
        <v>1</v>
      </c>
      <c r="E17" s="66" t="n">
        <v>45</v>
      </c>
      <c r="F17" s="66" t="n">
        <f aca="false">SUMIF(tbentrada[CODIGO],tbestoque[CODIGO],tbentrada[QUANTIDADE])</f>
        <v>0</v>
      </c>
      <c r="G17" s="66" t="n">
        <f aca="false">SUMIF(tbsaida[CODIGO],tbestoque[CODIGO],tbsaida[QUANTIDADE])</f>
        <v>10</v>
      </c>
      <c r="H17" s="66" t="n">
        <f aca="false">E17+F17-G17</f>
        <v>35</v>
      </c>
    </row>
    <row r="18" customFormat="false" ht="18.75" hidden="false" customHeight="false" outlineLevel="0" collapsed="false">
      <c r="A18" s="64" t="n">
        <v>17</v>
      </c>
      <c r="B18" s="73" t="s">
        <v>39</v>
      </c>
      <c r="C18" s="71" t="s">
        <v>23</v>
      </c>
      <c r="D18" s="72" t="n">
        <v>1</v>
      </c>
      <c r="E18" s="66" t="n">
        <v>48</v>
      </c>
      <c r="F18" s="66" t="n">
        <f aca="false">SUMIF(tbentrada[CODIGO],tbestoque[CODIGO],tbentrada[QUANTIDADE])</f>
        <v>3</v>
      </c>
      <c r="G18" s="66" t="n">
        <f aca="false">SUMIF(tbsaida[CODIGO],tbestoque[CODIGO],tbsaida[QUANTIDADE])</f>
        <v>0</v>
      </c>
      <c r="H18" s="66" t="n">
        <f aca="false">E18+F18-G18</f>
        <v>51</v>
      </c>
    </row>
    <row r="19" customFormat="false" ht="18.75" hidden="false" customHeight="false" outlineLevel="0" collapsed="false">
      <c r="A19" s="64" t="n">
        <f aca="false">A18+1</f>
        <v>18</v>
      </c>
      <c r="B19" s="73" t="s">
        <v>40</v>
      </c>
      <c r="C19" s="71" t="s">
        <v>23</v>
      </c>
      <c r="D19" s="72" t="n">
        <v>1</v>
      </c>
      <c r="E19" s="66" t="n">
        <v>4</v>
      </c>
      <c r="F19" s="66" t="n">
        <f aca="false">SUMIF(tbentrada[CODIGO],tbestoque[CODIGO],tbentrada[QUANTIDADE])</f>
        <v>54</v>
      </c>
      <c r="G19" s="66" t="n">
        <f aca="false">SUMIF(tbsaida[CODIGO],tbestoque[CODIGO],tbsaida[QUANTIDADE])</f>
        <v>34</v>
      </c>
      <c r="H19" s="66" t="n">
        <f aca="false">E19+F19-G19</f>
        <v>24</v>
      </c>
    </row>
    <row r="20" customFormat="false" ht="18.75" hidden="false" customHeight="false" outlineLevel="0" collapsed="false">
      <c r="A20" s="64" t="n">
        <f aca="false">A19+1</f>
        <v>19</v>
      </c>
      <c r="B20" s="73" t="s">
        <v>41</v>
      </c>
      <c r="C20" s="71" t="s">
        <v>23</v>
      </c>
      <c r="D20" s="72" t="n">
        <v>1</v>
      </c>
      <c r="E20" s="66" t="n">
        <v>51</v>
      </c>
      <c r="F20" s="66" t="n">
        <f aca="false">SUMIF(tbentrada[CODIGO],tbestoque[CODIGO],tbentrada[QUANTIDADE])</f>
        <v>0</v>
      </c>
      <c r="G20" s="66" t="n">
        <f aca="false">SUMIF(tbsaida[CODIGO],tbestoque[CODIGO],tbsaida[QUANTIDADE])</f>
        <v>0</v>
      </c>
      <c r="H20" s="66" t="n">
        <f aca="false">E20+F20-G20</f>
        <v>51</v>
      </c>
    </row>
    <row r="21" customFormat="false" ht="18.75" hidden="false" customHeight="false" outlineLevel="0" collapsed="false">
      <c r="A21" s="64" t="n">
        <f aca="false">A20+1</f>
        <v>20</v>
      </c>
      <c r="B21" s="73" t="s">
        <v>42</v>
      </c>
      <c r="C21" s="71" t="s">
        <v>23</v>
      </c>
      <c r="D21" s="72" t="n">
        <v>1</v>
      </c>
      <c r="E21" s="66" t="n">
        <v>5</v>
      </c>
      <c r="F21" s="66" t="n">
        <f aca="false">SUMIF(tbentrada[CODIGO],tbestoque[CODIGO],tbentrada[QUANTIDADE])</f>
        <v>0</v>
      </c>
      <c r="G21" s="66" t="n">
        <f aca="false">SUMIF(tbsaida[CODIGO],tbestoque[CODIGO],tbsaida[QUANTIDADE])</f>
        <v>0</v>
      </c>
      <c r="H21" s="66" t="n">
        <f aca="false">E21+F21-G21</f>
        <v>5</v>
      </c>
    </row>
    <row r="22" customFormat="false" ht="18.75" hidden="false" customHeight="false" outlineLevel="0" collapsed="false">
      <c r="A22" s="64" t="n">
        <f aca="false">A21+1</f>
        <v>21</v>
      </c>
      <c r="B22" s="73" t="s">
        <v>43</v>
      </c>
      <c r="C22" s="71" t="s">
        <v>23</v>
      </c>
      <c r="D22" s="72" t="n">
        <v>1</v>
      </c>
      <c r="E22" s="66" t="n">
        <v>52</v>
      </c>
      <c r="F22" s="66" t="n">
        <f aca="false">SUMIF(tbentrada[CODIGO],tbestoque[CODIGO],tbentrada[QUANTIDADE])</f>
        <v>0</v>
      </c>
      <c r="G22" s="66" t="n">
        <f aca="false">SUMIF(tbsaida[CODIGO],tbestoque[CODIGO],tbsaida[QUANTIDADE])</f>
        <v>0</v>
      </c>
      <c r="H22" s="66" t="n">
        <f aca="false">E22+F22-G22</f>
        <v>52</v>
      </c>
    </row>
    <row r="23" customFormat="false" ht="18.75" hidden="false" customHeight="false" outlineLevel="0" collapsed="false">
      <c r="A23" s="64" t="n">
        <f aca="false">A22+1</f>
        <v>22</v>
      </c>
      <c r="B23" s="70" t="s">
        <v>44</v>
      </c>
      <c r="C23" s="71" t="s">
        <v>23</v>
      </c>
      <c r="D23" s="72" t="n">
        <v>1</v>
      </c>
      <c r="E23" s="66" t="n">
        <v>21</v>
      </c>
      <c r="F23" s="66" t="n">
        <f aca="false">SUMIF(tbentrada[CODIGO],tbestoque[CODIGO],tbentrada[QUANTIDADE])</f>
        <v>0</v>
      </c>
      <c r="G23" s="66" t="n">
        <f aca="false">SUMIF(tbsaida[CODIGO],tbestoque[CODIGO],tbsaida[QUANTIDADE])</f>
        <v>1</v>
      </c>
      <c r="H23" s="66" t="n">
        <f aca="false">E23+F23-G23</f>
        <v>20</v>
      </c>
    </row>
    <row r="24" customFormat="false" ht="18.75" hidden="false" customHeight="false" outlineLevel="0" collapsed="false">
      <c r="A24" s="64" t="n">
        <f aca="false">A23+1</f>
        <v>23</v>
      </c>
      <c r="B24" s="73" t="s">
        <v>45</v>
      </c>
      <c r="C24" s="71" t="s">
        <v>23</v>
      </c>
      <c r="D24" s="72" t="n">
        <v>1</v>
      </c>
      <c r="E24" s="66" t="n">
        <v>29</v>
      </c>
      <c r="F24" s="66" t="n">
        <f aca="false">SUMIF(tbentrada[CODIGO],tbestoque[CODIGO],tbentrada[QUANTIDADE])</f>
        <v>1</v>
      </c>
      <c r="G24" s="66" t="n">
        <f aca="false">SUMIF(tbsaida[CODIGO],tbestoque[CODIGO],tbsaida[QUANTIDADE])</f>
        <v>17</v>
      </c>
      <c r="H24" s="66" t="n">
        <f aca="false">E24+F24-G24</f>
        <v>13</v>
      </c>
    </row>
    <row r="25" customFormat="false" ht="18.75" hidden="false" customHeight="false" outlineLevel="0" collapsed="false">
      <c r="A25" s="64" t="n">
        <f aca="false">A24+1</f>
        <v>24</v>
      </c>
      <c r="B25" s="73" t="s">
        <v>46</v>
      </c>
      <c r="C25" s="71" t="s">
        <v>23</v>
      </c>
      <c r="D25" s="72" t="n">
        <v>1</v>
      </c>
      <c r="E25" s="66" t="n">
        <v>0</v>
      </c>
      <c r="F25" s="66" t="n">
        <f aca="false">SUMIF(tbentrada[CODIGO],tbestoque[CODIGO],tbentrada[QUANTIDADE])</f>
        <v>0</v>
      </c>
      <c r="G25" s="66" t="n">
        <f aca="false">SUMIF(tbsaida[CODIGO],tbestoque[CODIGO],tbsaida[QUANTIDADE])</f>
        <v>0</v>
      </c>
      <c r="H25" s="66" t="n">
        <f aca="false">E25+F25-G25</f>
        <v>0</v>
      </c>
    </row>
    <row r="26" customFormat="false" ht="18.75" hidden="false" customHeight="false" outlineLevel="0" collapsed="false">
      <c r="A26" s="64" t="n">
        <f aca="false">A25+1</f>
        <v>25</v>
      </c>
      <c r="B26" s="73" t="s">
        <v>47</v>
      </c>
      <c r="C26" s="71" t="s">
        <v>23</v>
      </c>
      <c r="D26" s="72" t="n">
        <v>1</v>
      </c>
      <c r="E26" s="66" t="n">
        <v>5</v>
      </c>
      <c r="F26" s="66" t="n">
        <f aca="false">SUMIF(tbentrada[CODIGO],tbestoque[CODIGO],tbentrada[QUANTIDADE])</f>
        <v>0</v>
      </c>
      <c r="G26" s="66" t="n">
        <f aca="false">SUMIF(tbsaida[CODIGO],tbestoque[CODIGO],tbsaida[QUANTIDADE])</f>
        <v>5</v>
      </c>
      <c r="H26" s="66" t="n">
        <f aca="false">E26+F26-G26</f>
        <v>0</v>
      </c>
    </row>
    <row r="27" customFormat="false" ht="18.75" hidden="false" customHeight="false" outlineLevel="0" collapsed="false">
      <c r="A27" s="64" t="n">
        <f aca="false">A26+1</f>
        <v>26</v>
      </c>
      <c r="B27" s="73" t="s">
        <v>48</v>
      </c>
      <c r="C27" s="71" t="s">
        <v>23</v>
      </c>
      <c r="D27" s="72" t="n">
        <v>1</v>
      </c>
      <c r="E27" s="66" t="n">
        <v>4</v>
      </c>
      <c r="F27" s="66" t="n">
        <f aca="false">SUMIF(tbentrada[CODIGO],tbestoque[CODIGO],tbentrada[QUANTIDADE])</f>
        <v>0</v>
      </c>
      <c r="G27" s="66" t="n">
        <f aca="false">SUMIF(tbsaida[CODIGO],tbestoque[CODIGO],tbsaida[QUANTIDADE])</f>
        <v>0</v>
      </c>
      <c r="H27" s="66" t="n">
        <f aca="false">E27+F27-G27</f>
        <v>4</v>
      </c>
    </row>
    <row r="28" customFormat="false" ht="18.75" hidden="false" customHeight="false" outlineLevel="0" collapsed="false">
      <c r="A28" s="64" t="n">
        <f aca="false">A27+1</f>
        <v>27</v>
      </c>
      <c r="B28" s="73" t="s">
        <v>49</v>
      </c>
      <c r="C28" s="71" t="s">
        <v>23</v>
      </c>
      <c r="D28" s="72" t="n">
        <v>1</v>
      </c>
      <c r="E28" s="66" t="n">
        <v>15</v>
      </c>
      <c r="F28" s="66" t="n">
        <f aca="false">SUMIF(tbentrada[CODIGO],tbestoque[CODIGO],tbentrada[QUANTIDADE])</f>
        <v>1</v>
      </c>
      <c r="G28" s="66" t="n">
        <f aca="false">SUMIF(tbsaida[CODIGO],tbestoque[CODIGO],tbsaida[QUANTIDADE])</f>
        <v>3</v>
      </c>
      <c r="H28" s="66" t="n">
        <f aca="false">E28+F28-G28</f>
        <v>13</v>
      </c>
    </row>
    <row r="29" customFormat="false" ht="18.75" hidden="false" customHeight="false" outlineLevel="0" collapsed="false">
      <c r="A29" s="64" t="n">
        <f aca="false">A28+1</f>
        <v>28</v>
      </c>
      <c r="B29" s="74" t="s">
        <v>50</v>
      </c>
      <c r="C29" s="71" t="s">
        <v>23</v>
      </c>
      <c r="D29" s="72" t="n">
        <v>1</v>
      </c>
      <c r="E29" s="66" t="n">
        <v>1</v>
      </c>
      <c r="F29" s="66" t="n">
        <f aca="false">SUMIF(tbentrada[CODIGO],tbestoque[CODIGO],tbentrada[QUANTIDADE])</f>
        <v>1</v>
      </c>
      <c r="G29" s="66" t="n">
        <f aca="false">SUMIF(tbsaida[CODIGO],tbestoque[CODIGO],tbsaida[QUANTIDADE])</f>
        <v>0</v>
      </c>
      <c r="H29" s="66" t="n">
        <f aca="false">E29+F29-G29</f>
        <v>2</v>
      </c>
    </row>
    <row r="30" customFormat="false" ht="18.75" hidden="false" customHeight="false" outlineLevel="0" collapsed="false">
      <c r="A30" s="64" t="n">
        <f aca="false">A29+1</f>
        <v>29</v>
      </c>
      <c r="B30" s="74" t="s">
        <v>51</v>
      </c>
      <c r="C30" s="71" t="s">
        <v>23</v>
      </c>
      <c r="D30" s="72" t="n">
        <v>1</v>
      </c>
      <c r="E30" s="66" t="n">
        <v>1</v>
      </c>
      <c r="F30" s="66" t="n">
        <f aca="false">SUMIF(tbentrada[CODIGO],tbestoque[CODIGO],tbentrada[QUANTIDADE])</f>
        <v>1</v>
      </c>
      <c r="G30" s="66" t="n">
        <f aca="false">SUMIF(tbsaida[CODIGO],tbestoque[CODIGO],tbsaida[QUANTIDADE])</f>
        <v>0</v>
      </c>
      <c r="H30" s="66" t="n">
        <f aca="false">E30+F30-G30</f>
        <v>2</v>
      </c>
    </row>
    <row r="31" customFormat="false" ht="18.75" hidden="false" customHeight="false" outlineLevel="0" collapsed="false">
      <c r="A31" s="64" t="n">
        <f aca="false">A30+1</f>
        <v>30</v>
      </c>
      <c r="B31" s="74" t="s">
        <v>52</v>
      </c>
      <c r="C31" s="71" t="s">
        <v>23</v>
      </c>
      <c r="D31" s="72" t="n">
        <v>1</v>
      </c>
      <c r="E31" s="66" t="n">
        <v>1</v>
      </c>
      <c r="F31" s="66" t="n">
        <f aca="false">SUMIF(tbentrada[CODIGO],tbestoque[CODIGO],tbentrada[QUANTIDADE])</f>
        <v>1</v>
      </c>
      <c r="G31" s="66" t="n">
        <f aca="false">SUMIF(tbsaida[CODIGO],tbestoque[CODIGO],tbsaida[QUANTIDADE])</f>
        <v>1</v>
      </c>
      <c r="H31" s="66" t="n">
        <f aca="false">E31+F31-G31</f>
        <v>1</v>
      </c>
    </row>
    <row r="32" customFormat="false" ht="18.75" hidden="false" customHeight="false" outlineLevel="0" collapsed="false">
      <c r="A32" s="64" t="n">
        <f aca="false">A31+1</f>
        <v>31</v>
      </c>
      <c r="B32" s="74" t="s">
        <v>53</v>
      </c>
      <c r="C32" s="71" t="s">
        <v>23</v>
      </c>
      <c r="D32" s="72" t="n">
        <v>1</v>
      </c>
      <c r="E32" s="66" t="n">
        <v>1</v>
      </c>
      <c r="F32" s="66" t="n">
        <f aca="false">SUMIF(tbentrada[CODIGO],tbestoque[CODIGO],tbentrada[QUANTIDADE])</f>
        <v>1</v>
      </c>
      <c r="G32" s="66" t="n">
        <f aca="false">SUMIF(tbsaida[CODIGO],tbestoque[CODIGO],tbsaida[QUANTIDADE])</f>
        <v>0</v>
      </c>
      <c r="H32" s="66" t="n">
        <f aca="false">E32+F32-G32</f>
        <v>2</v>
      </c>
    </row>
    <row r="33" customFormat="false" ht="18.75" hidden="false" customHeight="false" outlineLevel="0" collapsed="false">
      <c r="A33" s="64" t="n">
        <f aca="false">A32+1</f>
        <v>32</v>
      </c>
      <c r="B33" s="74" t="s">
        <v>54</v>
      </c>
      <c r="C33" s="71" t="s">
        <v>23</v>
      </c>
      <c r="D33" s="72" t="n">
        <v>1</v>
      </c>
      <c r="E33" s="66" t="n">
        <v>1</v>
      </c>
      <c r="F33" s="66" t="n">
        <f aca="false">SUMIF(tbentrada[CODIGO],tbestoque[CODIGO],tbentrada[QUANTIDADE])</f>
        <v>1</v>
      </c>
      <c r="G33" s="66" t="n">
        <f aca="false">SUMIF(tbsaida[CODIGO],tbestoque[CODIGO],tbsaida[QUANTIDADE])</f>
        <v>0</v>
      </c>
      <c r="H33" s="66" t="n">
        <f aca="false">E33+F33-G33</f>
        <v>2</v>
      </c>
    </row>
    <row r="34" customFormat="false" ht="18.75" hidden="false" customHeight="false" outlineLevel="0" collapsed="false">
      <c r="A34" s="64" t="n">
        <f aca="false">A33+1</f>
        <v>33</v>
      </c>
      <c r="B34" s="74" t="s">
        <v>55</v>
      </c>
      <c r="C34" s="71" t="s">
        <v>23</v>
      </c>
      <c r="D34" s="72" t="n">
        <v>1</v>
      </c>
      <c r="E34" s="66" t="n">
        <v>1</v>
      </c>
      <c r="F34" s="66" t="n">
        <f aca="false">SUMIF(tbentrada[CODIGO],tbestoque[CODIGO],tbentrada[QUANTIDADE])</f>
        <v>1</v>
      </c>
      <c r="G34" s="66" t="n">
        <f aca="false">SUMIF(tbsaida[CODIGO],tbestoque[CODIGO],tbsaida[QUANTIDADE])</f>
        <v>0</v>
      </c>
      <c r="H34" s="66" t="n">
        <f aca="false">E34+F34-G34</f>
        <v>2</v>
      </c>
    </row>
    <row r="35" customFormat="false" ht="18.75" hidden="false" customHeight="false" outlineLevel="0" collapsed="false">
      <c r="A35" s="64" t="n">
        <f aca="false">A34+1</f>
        <v>34</v>
      </c>
      <c r="B35" s="70" t="s">
        <v>56</v>
      </c>
      <c r="C35" s="71" t="s">
        <v>23</v>
      </c>
      <c r="D35" s="72" t="n">
        <v>1</v>
      </c>
      <c r="E35" s="66" t="n">
        <v>5</v>
      </c>
      <c r="F35" s="66" t="n">
        <f aca="false">SUMIF(tbentrada[CODIGO],tbestoque[CODIGO],tbentrada[QUANTIDADE])</f>
        <v>7</v>
      </c>
      <c r="G35" s="66" t="n">
        <f aca="false">SUMIF(tbsaida[CODIGO],tbestoque[CODIGO],tbsaida[QUANTIDADE])</f>
        <v>0</v>
      </c>
      <c r="H35" s="66" t="n">
        <f aca="false">E35+F35-G35</f>
        <v>12</v>
      </c>
    </row>
    <row r="36" customFormat="false" ht="18.75" hidden="false" customHeight="false" outlineLevel="0" collapsed="false">
      <c r="A36" s="64" t="n">
        <f aca="false">A35+1</f>
        <v>35</v>
      </c>
      <c r="B36" s="73" t="s">
        <v>57</v>
      </c>
      <c r="C36" s="71" t="s">
        <v>23</v>
      </c>
      <c r="D36" s="72" t="n">
        <v>1</v>
      </c>
      <c r="E36" s="66" t="n">
        <v>1</v>
      </c>
      <c r="F36" s="66" t="n">
        <f aca="false">SUMIF(tbentrada[CODIGO],tbestoque[CODIGO],tbentrada[QUANTIDADE])</f>
        <v>0</v>
      </c>
      <c r="G36" s="66" t="n">
        <f aca="false">SUMIF(tbsaida[CODIGO],tbestoque[CODIGO],tbsaida[QUANTIDADE])</f>
        <v>1</v>
      </c>
      <c r="H36" s="66" t="n">
        <f aca="false">E36+F36-G36</f>
        <v>0</v>
      </c>
    </row>
    <row r="37" customFormat="false" ht="18.75" hidden="false" customHeight="false" outlineLevel="0" collapsed="false">
      <c r="A37" s="64" t="n">
        <f aca="false">A36+1</f>
        <v>36</v>
      </c>
      <c r="B37" s="73" t="s">
        <v>58</v>
      </c>
      <c r="C37" s="71" t="s">
        <v>23</v>
      </c>
      <c r="D37" s="72" t="n">
        <v>1</v>
      </c>
      <c r="E37" s="66" t="n">
        <v>7</v>
      </c>
      <c r="F37" s="66" t="n">
        <f aca="false">SUMIF(tbentrada[CODIGO],tbestoque[CODIGO],tbentrada[QUANTIDADE])</f>
        <v>16</v>
      </c>
      <c r="G37" s="66" t="n">
        <f aca="false">SUMIF(tbsaida[CODIGO],tbestoque[CODIGO],tbsaida[QUANTIDADE])</f>
        <v>25</v>
      </c>
      <c r="H37" s="66" t="n">
        <f aca="false">E37+F37-G37</f>
        <v>-2</v>
      </c>
    </row>
    <row r="38" customFormat="false" ht="18.75" hidden="false" customHeight="false" outlineLevel="0" collapsed="false">
      <c r="A38" s="64" t="n">
        <f aca="false">A37+1</f>
        <v>37</v>
      </c>
      <c r="B38" s="70" t="s">
        <v>59</v>
      </c>
      <c r="C38" s="71" t="s">
        <v>23</v>
      </c>
      <c r="D38" s="72" t="n">
        <v>1</v>
      </c>
      <c r="E38" s="66" t="n">
        <v>11</v>
      </c>
      <c r="F38" s="66" t="n">
        <f aca="false">SUMIF(tbentrada[CODIGO],tbestoque[CODIGO],tbentrada[QUANTIDADE])</f>
        <v>6</v>
      </c>
      <c r="G38" s="66" t="n">
        <f aca="false">SUMIF(tbsaida[CODIGO],tbestoque[CODIGO],tbsaida[QUANTIDADE])</f>
        <v>11</v>
      </c>
      <c r="H38" s="66" t="n">
        <f aca="false">E38+F38-G38</f>
        <v>6</v>
      </c>
    </row>
    <row r="39" customFormat="false" ht="18.75" hidden="false" customHeight="false" outlineLevel="0" collapsed="false">
      <c r="A39" s="64" t="n">
        <f aca="false">A38+1</f>
        <v>38</v>
      </c>
      <c r="B39" s="73" t="s">
        <v>60</v>
      </c>
      <c r="C39" s="71" t="s">
        <v>23</v>
      </c>
      <c r="D39" s="72" t="n">
        <v>1</v>
      </c>
      <c r="E39" s="66" t="n">
        <v>0</v>
      </c>
      <c r="F39" s="66" t="n">
        <f aca="false">SUMIF(tbentrada[CODIGO],tbestoque[CODIGO],tbentrada[QUANTIDADE])</f>
        <v>0</v>
      </c>
      <c r="G39" s="66" t="n">
        <f aca="false">SUMIF(tbsaida[CODIGO],tbestoque[CODIGO],tbsaida[QUANTIDADE])</f>
        <v>0</v>
      </c>
      <c r="H39" s="66" t="n">
        <f aca="false">E39+F39-G39</f>
        <v>0</v>
      </c>
    </row>
    <row r="40" customFormat="false" ht="18.75" hidden="false" customHeight="false" outlineLevel="0" collapsed="false">
      <c r="A40" s="64" t="n">
        <f aca="false">A39+1</f>
        <v>39</v>
      </c>
      <c r="B40" s="73" t="s">
        <v>61</v>
      </c>
      <c r="C40" s="71" t="s">
        <v>23</v>
      </c>
      <c r="D40" s="72" t="n">
        <v>1</v>
      </c>
      <c r="E40" s="66" t="n">
        <v>0</v>
      </c>
      <c r="F40" s="66" t="n">
        <f aca="false">SUMIF(tbentrada[CODIGO],tbestoque[CODIGO],tbentrada[QUANTIDADE])</f>
        <v>0</v>
      </c>
      <c r="G40" s="66" t="n">
        <f aca="false">SUMIF(tbsaida[CODIGO],tbestoque[CODIGO],tbsaida[QUANTIDADE])</f>
        <v>0</v>
      </c>
      <c r="H40" s="66" t="n">
        <f aca="false">E40+F40-G40</f>
        <v>0</v>
      </c>
    </row>
    <row r="41" customFormat="false" ht="18.75" hidden="false" customHeight="false" outlineLevel="0" collapsed="false">
      <c r="A41" s="64" t="n">
        <f aca="false">A40+1</f>
        <v>40</v>
      </c>
      <c r="B41" s="73" t="s">
        <v>62</v>
      </c>
      <c r="C41" s="71" t="s">
        <v>23</v>
      </c>
      <c r="D41" s="72" t="n">
        <v>1</v>
      </c>
      <c r="E41" s="66" t="n">
        <v>18</v>
      </c>
      <c r="F41" s="66" t="n">
        <f aca="false">SUMIF(tbentrada[CODIGO],tbestoque[CODIGO],tbentrada[QUANTIDADE])</f>
        <v>0</v>
      </c>
      <c r="G41" s="66" t="n">
        <f aca="false">SUMIF(tbsaida[CODIGO],tbestoque[CODIGO],tbsaida[QUANTIDADE])</f>
        <v>0</v>
      </c>
      <c r="H41" s="66" t="n">
        <f aca="false">E41+F41-G41</f>
        <v>18</v>
      </c>
    </row>
    <row r="42" customFormat="false" ht="18.75" hidden="false" customHeight="false" outlineLevel="0" collapsed="false">
      <c r="A42" s="64" t="n">
        <f aca="false">A41+1</f>
        <v>41</v>
      </c>
      <c r="B42" s="73" t="s">
        <v>63</v>
      </c>
      <c r="C42" s="71" t="s">
        <v>23</v>
      </c>
      <c r="D42" s="72" t="n">
        <v>1</v>
      </c>
      <c r="E42" s="66" t="n">
        <v>8</v>
      </c>
      <c r="F42" s="66" t="n">
        <f aca="false">SUMIF(tbentrada[CODIGO],tbestoque[CODIGO],tbentrada[QUANTIDADE])</f>
        <v>0</v>
      </c>
      <c r="G42" s="66" t="n">
        <f aca="false">SUMIF(tbsaida[CODIGO],tbestoque[CODIGO],tbsaida[QUANTIDADE])</f>
        <v>0</v>
      </c>
      <c r="H42" s="66" t="n">
        <f aca="false">E42+F42-G42</f>
        <v>8</v>
      </c>
    </row>
    <row r="43" customFormat="false" ht="18.75" hidden="false" customHeight="false" outlineLevel="0" collapsed="false">
      <c r="A43" s="64" t="n">
        <f aca="false">A42+1</f>
        <v>42</v>
      </c>
      <c r="B43" s="70" t="s">
        <v>64</v>
      </c>
      <c r="C43" s="71" t="s">
        <v>23</v>
      </c>
      <c r="D43" s="72" t="n">
        <v>1</v>
      </c>
      <c r="E43" s="66" t="n">
        <v>0</v>
      </c>
      <c r="F43" s="66" t="n">
        <f aca="false">SUMIF(tbentrada[CODIGO],tbestoque[CODIGO],tbentrada[QUANTIDADE])</f>
        <v>0</v>
      </c>
      <c r="G43" s="66" t="n">
        <f aca="false">SUMIF(tbsaida[CODIGO],tbestoque[CODIGO],tbsaida[QUANTIDADE])</f>
        <v>0</v>
      </c>
      <c r="H43" s="66" t="n">
        <f aca="false">E43+F43-G43</f>
        <v>0</v>
      </c>
    </row>
    <row r="44" customFormat="false" ht="18.75" hidden="false" customHeight="false" outlineLevel="0" collapsed="false">
      <c r="A44" s="64" t="n">
        <f aca="false">A43+1</f>
        <v>43</v>
      </c>
      <c r="B44" s="73" t="s">
        <v>65</v>
      </c>
      <c r="C44" s="71" t="s">
        <v>23</v>
      </c>
      <c r="D44" s="72" t="n">
        <v>1</v>
      </c>
      <c r="E44" s="66" t="n">
        <v>0</v>
      </c>
      <c r="F44" s="66" t="n">
        <f aca="false">SUMIF(tbentrada[CODIGO],tbestoque[CODIGO],tbentrada[QUANTIDADE])</f>
        <v>0</v>
      </c>
      <c r="G44" s="66" t="n">
        <f aca="false">SUMIF(tbsaida[CODIGO],tbestoque[CODIGO],tbsaida[QUANTIDADE])</f>
        <v>0</v>
      </c>
      <c r="H44" s="66" t="n">
        <f aca="false">E44+F44-G44</f>
        <v>0</v>
      </c>
    </row>
    <row r="45" customFormat="false" ht="18.75" hidden="false" customHeight="false" outlineLevel="0" collapsed="false">
      <c r="A45" s="64" t="n">
        <f aca="false">A44+1</f>
        <v>44</v>
      </c>
      <c r="B45" s="73" t="s">
        <v>66</v>
      </c>
      <c r="C45" s="71" t="s">
        <v>23</v>
      </c>
      <c r="D45" s="72" t="n">
        <v>1</v>
      </c>
      <c r="E45" s="66" t="n">
        <v>0</v>
      </c>
      <c r="F45" s="66" t="n">
        <f aca="false">SUMIF(tbentrada[CODIGO],tbestoque[CODIGO],tbentrada[QUANTIDADE])</f>
        <v>0</v>
      </c>
      <c r="G45" s="66" t="n">
        <f aca="false">SUMIF(tbsaida[CODIGO],tbestoque[CODIGO],tbsaida[QUANTIDADE])</f>
        <v>0</v>
      </c>
      <c r="H45" s="66" t="n">
        <f aca="false">E45+F45-G45</f>
        <v>0</v>
      </c>
    </row>
    <row r="46" customFormat="false" ht="18.75" hidden="false" customHeight="false" outlineLevel="0" collapsed="false">
      <c r="A46" s="64" t="n">
        <f aca="false">A45+1</f>
        <v>45</v>
      </c>
      <c r="B46" s="73" t="s">
        <v>67</v>
      </c>
      <c r="C46" s="71" t="s">
        <v>23</v>
      </c>
      <c r="D46" s="72" t="n">
        <v>1</v>
      </c>
      <c r="E46" s="66" t="n">
        <v>0</v>
      </c>
      <c r="F46" s="66" t="n">
        <f aca="false">SUMIF(tbentrada[CODIGO],tbestoque[CODIGO],tbentrada[QUANTIDADE])</f>
        <v>0</v>
      </c>
      <c r="G46" s="66" t="n">
        <f aca="false">SUMIF(tbsaida[CODIGO],tbestoque[CODIGO],tbsaida[QUANTIDADE])</f>
        <v>0</v>
      </c>
      <c r="H46" s="66" t="n">
        <f aca="false">E46+F46-G46</f>
        <v>0</v>
      </c>
    </row>
    <row r="47" customFormat="false" ht="18.75" hidden="false" customHeight="false" outlineLevel="0" collapsed="false">
      <c r="A47" s="64" t="n">
        <f aca="false">A46+1</f>
        <v>46</v>
      </c>
      <c r="B47" s="73" t="s">
        <v>68</v>
      </c>
      <c r="C47" s="71" t="s">
        <v>23</v>
      </c>
      <c r="D47" s="72" t="n">
        <v>1</v>
      </c>
      <c r="E47" s="66" t="n">
        <v>1</v>
      </c>
      <c r="F47" s="66" t="n">
        <f aca="false">SUMIF(tbentrada[CODIGO],tbestoque[CODIGO],tbentrada[QUANTIDADE])</f>
        <v>0</v>
      </c>
      <c r="G47" s="66" t="n">
        <f aca="false">SUMIF(tbsaida[CODIGO],tbestoque[CODIGO],tbsaida[QUANTIDADE])</f>
        <v>0</v>
      </c>
      <c r="H47" s="66" t="n">
        <f aca="false">E47+F47-G47</f>
        <v>1</v>
      </c>
    </row>
    <row r="48" customFormat="false" ht="18.75" hidden="false" customHeight="false" outlineLevel="0" collapsed="false">
      <c r="A48" s="64" t="n">
        <f aca="false">A47+1</f>
        <v>47</v>
      </c>
      <c r="B48" s="73" t="s">
        <v>69</v>
      </c>
      <c r="C48" s="71" t="s">
        <v>23</v>
      </c>
      <c r="D48" s="72" t="n">
        <v>1</v>
      </c>
      <c r="E48" s="66" t="n">
        <v>0</v>
      </c>
      <c r="F48" s="66" t="n">
        <f aca="false">SUMIF(tbentrada[CODIGO],tbestoque[CODIGO],tbentrada[QUANTIDADE])</f>
        <v>0</v>
      </c>
      <c r="G48" s="66" t="n">
        <f aca="false">SUMIF(tbsaida[CODIGO],tbestoque[CODIGO],tbsaida[QUANTIDADE])</f>
        <v>0</v>
      </c>
      <c r="H48" s="66" t="n">
        <f aca="false">E48+F48-G48</f>
        <v>0</v>
      </c>
    </row>
    <row r="49" customFormat="false" ht="18.75" hidden="false" customHeight="false" outlineLevel="0" collapsed="false">
      <c r="A49" s="64" t="n">
        <f aca="false">A48+1</f>
        <v>48</v>
      </c>
      <c r="B49" s="73" t="s">
        <v>70</v>
      </c>
      <c r="C49" s="71" t="s">
        <v>23</v>
      </c>
      <c r="D49" s="72" t="n">
        <v>1</v>
      </c>
      <c r="E49" s="66" t="n">
        <v>0</v>
      </c>
      <c r="F49" s="66" t="n">
        <f aca="false">SUMIF(tbentrada[CODIGO],tbestoque[CODIGO],tbentrada[QUANTIDADE])</f>
        <v>0</v>
      </c>
      <c r="G49" s="66" t="n">
        <f aca="false">SUMIF(tbsaida[CODIGO],tbestoque[CODIGO],tbsaida[QUANTIDADE])</f>
        <v>0</v>
      </c>
      <c r="H49" s="66" t="n">
        <f aca="false">E49+F49-G49</f>
        <v>0</v>
      </c>
    </row>
    <row r="50" customFormat="false" ht="18.75" hidden="false" customHeight="false" outlineLevel="0" collapsed="false">
      <c r="A50" s="64" t="n">
        <f aca="false">A49+1</f>
        <v>49</v>
      </c>
      <c r="B50" s="73" t="s">
        <v>71</v>
      </c>
      <c r="C50" s="71" t="s">
        <v>23</v>
      </c>
      <c r="D50" s="72" t="n">
        <v>1</v>
      </c>
      <c r="E50" s="66" t="n">
        <v>0</v>
      </c>
      <c r="F50" s="66" t="n">
        <f aca="false">SUMIF(tbentrada[CODIGO],tbestoque[CODIGO],tbentrada[QUANTIDADE])</f>
        <v>0</v>
      </c>
      <c r="G50" s="66" t="n">
        <f aca="false">SUMIF(tbsaida[CODIGO],tbestoque[CODIGO],tbsaida[QUANTIDADE])</f>
        <v>0</v>
      </c>
      <c r="H50" s="66" t="n">
        <f aca="false">E50+F50-G50</f>
        <v>0</v>
      </c>
    </row>
    <row r="51" customFormat="false" ht="18.75" hidden="false" customHeight="false" outlineLevel="0" collapsed="false">
      <c r="A51" s="64" t="n">
        <f aca="false">A50+1</f>
        <v>50</v>
      </c>
      <c r="B51" s="73" t="s">
        <v>72</v>
      </c>
      <c r="C51" s="71" t="s">
        <v>23</v>
      </c>
      <c r="D51" s="72" t="n">
        <v>1</v>
      </c>
      <c r="E51" s="66" t="n">
        <v>0</v>
      </c>
      <c r="F51" s="66" t="n">
        <f aca="false">SUMIF(tbentrada[CODIGO],tbestoque[CODIGO],tbentrada[QUANTIDADE])</f>
        <v>0</v>
      </c>
      <c r="G51" s="66" t="n">
        <f aca="false">SUMIF(tbsaida[CODIGO],tbestoque[CODIGO],tbsaida[QUANTIDADE])</f>
        <v>0</v>
      </c>
      <c r="H51" s="66" t="n">
        <f aca="false">E51+F51-G51</f>
        <v>0</v>
      </c>
    </row>
    <row r="52" customFormat="false" ht="18.75" hidden="false" customHeight="false" outlineLevel="0" collapsed="false">
      <c r="A52" s="64" t="n">
        <f aca="false">A51+1</f>
        <v>51</v>
      </c>
      <c r="B52" s="73" t="s">
        <v>73</v>
      </c>
      <c r="C52" s="71" t="s">
        <v>23</v>
      </c>
      <c r="D52" s="72" t="n">
        <v>1</v>
      </c>
      <c r="E52" s="66" t="n">
        <v>2</v>
      </c>
      <c r="F52" s="66" t="n">
        <f aca="false">SUMIF(tbentrada[CODIGO],tbestoque[CODIGO],tbentrada[QUANTIDADE])</f>
        <v>0</v>
      </c>
      <c r="G52" s="66" t="n">
        <f aca="false">SUMIF(tbsaida[CODIGO],tbestoque[CODIGO],tbsaida[QUANTIDADE])</f>
        <v>0</v>
      </c>
      <c r="H52" s="66" t="n">
        <f aca="false">E52+F52-G52</f>
        <v>2</v>
      </c>
    </row>
    <row r="53" customFormat="false" ht="18.75" hidden="false" customHeight="false" outlineLevel="0" collapsed="false">
      <c r="A53" s="64" t="n">
        <f aca="false">A52+1</f>
        <v>52</v>
      </c>
      <c r="B53" s="73" t="s">
        <v>74</v>
      </c>
      <c r="C53" s="71" t="s">
        <v>23</v>
      </c>
      <c r="D53" s="72" t="n">
        <v>1</v>
      </c>
      <c r="E53" s="66" t="n">
        <v>3</v>
      </c>
      <c r="F53" s="66" t="n">
        <f aca="false">SUMIF(tbentrada[CODIGO],tbestoque[CODIGO],tbentrada[QUANTIDADE])</f>
        <v>0</v>
      </c>
      <c r="G53" s="66" t="n">
        <f aca="false">SUMIF(tbsaida[CODIGO],tbestoque[CODIGO],tbsaida[QUANTIDADE])</f>
        <v>4</v>
      </c>
      <c r="H53" s="66" t="n">
        <f aca="false">E53+F53-G53</f>
        <v>-1</v>
      </c>
    </row>
    <row r="54" customFormat="false" ht="18.75" hidden="false" customHeight="false" outlineLevel="0" collapsed="false">
      <c r="A54" s="64" t="n">
        <f aca="false">A53+1</f>
        <v>53</v>
      </c>
      <c r="B54" s="73" t="s">
        <v>75</v>
      </c>
      <c r="C54" s="71" t="s">
        <v>23</v>
      </c>
      <c r="D54" s="72" t="n">
        <v>1</v>
      </c>
      <c r="E54" s="66" t="n">
        <v>2</v>
      </c>
      <c r="F54" s="66" t="n">
        <f aca="false">SUMIF(tbentrada[CODIGO],tbestoque[CODIGO],tbentrada[QUANTIDADE])</f>
        <v>0</v>
      </c>
      <c r="G54" s="66" t="n">
        <f aca="false">SUMIF(tbsaida[CODIGO],tbestoque[CODIGO],tbsaida[QUANTIDADE])</f>
        <v>0</v>
      </c>
      <c r="H54" s="66" t="n">
        <f aca="false">E54+F54-G54</f>
        <v>2</v>
      </c>
    </row>
    <row r="55" customFormat="false" ht="18.75" hidden="false" customHeight="false" outlineLevel="0" collapsed="false">
      <c r="A55" s="64" t="n">
        <f aca="false">A54+1</f>
        <v>54</v>
      </c>
      <c r="B55" s="73" t="s">
        <v>76</v>
      </c>
      <c r="C55" s="71" t="s">
        <v>23</v>
      </c>
      <c r="D55" s="72" t="n">
        <v>1</v>
      </c>
      <c r="E55" s="66" t="n">
        <v>0</v>
      </c>
      <c r="F55" s="66" t="n">
        <f aca="false">SUMIF(tbentrada[CODIGO],tbestoque[CODIGO],tbentrada[QUANTIDADE])</f>
        <v>0</v>
      </c>
      <c r="G55" s="66" t="n">
        <f aca="false">SUMIF(tbsaida[CODIGO],tbestoque[CODIGO],tbsaida[QUANTIDADE])</f>
        <v>0</v>
      </c>
      <c r="H55" s="66" t="n">
        <f aca="false">E55+F55-G55</f>
        <v>0</v>
      </c>
    </row>
    <row r="56" customFormat="false" ht="18.75" hidden="false" customHeight="false" outlineLevel="0" collapsed="false">
      <c r="A56" s="64" t="n">
        <f aca="false">A55+1</f>
        <v>55</v>
      </c>
      <c r="B56" s="73" t="s">
        <v>77</v>
      </c>
      <c r="C56" s="71" t="s">
        <v>23</v>
      </c>
      <c r="D56" s="72" t="n">
        <v>1</v>
      </c>
      <c r="E56" s="66" t="n">
        <v>7</v>
      </c>
      <c r="F56" s="66" t="n">
        <f aca="false">SUMIF(tbentrada[CODIGO],tbestoque[CODIGO],tbentrada[QUANTIDADE])</f>
        <v>0</v>
      </c>
      <c r="G56" s="66" t="n">
        <f aca="false">SUMIF(tbsaida[CODIGO],tbestoque[CODIGO],tbsaida[QUANTIDADE])</f>
        <v>7</v>
      </c>
      <c r="H56" s="66" t="n">
        <f aca="false">E56+F56-G56</f>
        <v>0</v>
      </c>
    </row>
    <row r="57" customFormat="false" ht="18.75" hidden="false" customHeight="false" outlineLevel="0" collapsed="false">
      <c r="A57" s="64" t="n">
        <f aca="false">A56+1</f>
        <v>56</v>
      </c>
      <c r="B57" s="73" t="s">
        <v>78</v>
      </c>
      <c r="C57" s="71" t="s">
        <v>23</v>
      </c>
      <c r="D57" s="72" t="n">
        <v>1</v>
      </c>
      <c r="E57" s="66" t="n">
        <v>0</v>
      </c>
      <c r="F57" s="66" t="n">
        <f aca="false">SUMIF(tbentrada[CODIGO],tbestoque[CODIGO],tbentrada[QUANTIDADE])</f>
        <v>0</v>
      </c>
      <c r="G57" s="66" t="n">
        <f aca="false">SUMIF(tbsaida[CODIGO],tbestoque[CODIGO],tbsaida[QUANTIDADE])</f>
        <v>1</v>
      </c>
      <c r="H57" s="66" t="n">
        <f aca="false">E57+F57-G57</f>
        <v>-1</v>
      </c>
    </row>
    <row r="58" customFormat="false" ht="18.75" hidden="false" customHeight="false" outlineLevel="0" collapsed="false">
      <c r="A58" s="64" t="n">
        <f aca="false">A57+1</f>
        <v>57</v>
      </c>
      <c r="B58" s="73" t="s">
        <v>79</v>
      </c>
      <c r="C58" s="71" t="s">
        <v>23</v>
      </c>
      <c r="D58" s="72" t="n">
        <v>1</v>
      </c>
      <c r="E58" s="66" t="n">
        <v>13</v>
      </c>
      <c r="F58" s="66" t="n">
        <f aca="false">SUMIF(tbentrada[CODIGO],tbestoque[CODIGO],tbentrada[QUANTIDADE])</f>
        <v>1</v>
      </c>
      <c r="G58" s="66" t="n">
        <f aca="false">SUMIF(tbsaida[CODIGO],tbestoque[CODIGO],tbsaida[QUANTIDADE])</f>
        <v>0</v>
      </c>
      <c r="H58" s="66" t="n">
        <f aca="false">E58+F58-G58</f>
        <v>14</v>
      </c>
    </row>
    <row r="59" customFormat="false" ht="18.75" hidden="false" customHeight="false" outlineLevel="0" collapsed="false">
      <c r="A59" s="64" t="n">
        <f aca="false">A58+1</f>
        <v>58</v>
      </c>
      <c r="B59" s="73" t="s">
        <v>80</v>
      </c>
      <c r="C59" s="71" t="s">
        <v>23</v>
      </c>
      <c r="D59" s="72" t="n">
        <v>1</v>
      </c>
      <c r="E59" s="66" t="n">
        <v>13</v>
      </c>
      <c r="F59" s="66" t="n">
        <f aca="false">SUMIF(tbentrada[CODIGO],tbestoque[CODIGO],tbentrada[QUANTIDADE])</f>
        <v>17</v>
      </c>
      <c r="G59" s="66" t="n">
        <f aca="false">SUMIF(tbsaida[CODIGO],tbestoque[CODIGO],tbsaida[QUANTIDADE])</f>
        <v>18</v>
      </c>
      <c r="H59" s="66" t="n">
        <f aca="false">E59+F59-G59</f>
        <v>12</v>
      </c>
    </row>
    <row r="60" customFormat="false" ht="18.75" hidden="false" customHeight="false" outlineLevel="0" collapsed="false">
      <c r="A60" s="64" t="n">
        <f aca="false">A59+1</f>
        <v>59</v>
      </c>
      <c r="B60" s="73" t="s">
        <v>81</v>
      </c>
      <c r="C60" s="71" t="s">
        <v>23</v>
      </c>
      <c r="D60" s="72" t="n">
        <v>1</v>
      </c>
      <c r="E60" s="66" t="n">
        <v>5</v>
      </c>
      <c r="F60" s="66" t="n">
        <f aca="false">SUMIF(tbentrada[CODIGO],tbestoque[CODIGO],tbentrada[QUANTIDADE])</f>
        <v>3</v>
      </c>
      <c r="G60" s="66" t="n">
        <f aca="false">SUMIF(tbsaida[CODIGO],tbestoque[CODIGO],tbsaida[QUANTIDADE])</f>
        <v>3</v>
      </c>
      <c r="H60" s="66" t="n">
        <f aca="false">E60+F60-G60</f>
        <v>5</v>
      </c>
    </row>
    <row r="61" customFormat="false" ht="18.75" hidden="false" customHeight="false" outlineLevel="0" collapsed="false">
      <c r="A61" s="64" t="n">
        <f aca="false">A60+1</f>
        <v>60</v>
      </c>
      <c r="B61" s="73" t="s">
        <v>82</v>
      </c>
      <c r="C61" s="71" t="s">
        <v>23</v>
      </c>
      <c r="D61" s="72" t="n">
        <v>1</v>
      </c>
      <c r="E61" s="66" t="n">
        <v>12</v>
      </c>
      <c r="F61" s="66" t="n">
        <f aca="false">SUMIF(tbentrada[CODIGO],tbestoque[CODIGO],tbentrada[QUANTIDADE])</f>
        <v>0</v>
      </c>
      <c r="G61" s="66" t="n">
        <f aca="false">SUMIF(tbsaida[CODIGO],tbestoque[CODIGO],tbsaida[QUANTIDADE])</f>
        <v>0</v>
      </c>
      <c r="H61" s="66" t="n">
        <f aca="false">E61+F61-G61</f>
        <v>12</v>
      </c>
    </row>
    <row r="62" customFormat="false" ht="18.75" hidden="false" customHeight="false" outlineLevel="0" collapsed="false">
      <c r="A62" s="64" t="n">
        <f aca="false">A61+1</f>
        <v>61</v>
      </c>
      <c r="B62" s="73" t="s">
        <v>83</v>
      </c>
      <c r="C62" s="71" t="s">
        <v>23</v>
      </c>
      <c r="D62" s="72" t="n">
        <v>1</v>
      </c>
      <c r="E62" s="66" t="n">
        <v>0</v>
      </c>
      <c r="F62" s="66" t="n">
        <f aca="false">SUMIF(tbentrada[CODIGO],tbestoque[CODIGO],tbentrada[QUANTIDADE])</f>
        <v>0</v>
      </c>
      <c r="G62" s="66" t="n">
        <f aca="false">SUMIF(tbsaida[CODIGO],tbestoque[CODIGO],tbsaida[QUANTIDADE])</f>
        <v>0</v>
      </c>
      <c r="H62" s="66" t="n">
        <f aca="false">E62+F62-G62</f>
        <v>0</v>
      </c>
    </row>
    <row r="63" customFormat="false" ht="18.75" hidden="false" customHeight="false" outlineLevel="0" collapsed="false">
      <c r="A63" s="64" t="n">
        <f aca="false">A62+1</f>
        <v>62</v>
      </c>
      <c r="B63" s="73" t="s">
        <v>84</v>
      </c>
      <c r="C63" s="71" t="s">
        <v>23</v>
      </c>
      <c r="D63" s="72" t="n">
        <v>1</v>
      </c>
      <c r="E63" s="66" t="n">
        <v>0</v>
      </c>
      <c r="F63" s="66" t="n">
        <f aca="false">SUMIF(tbentrada[CODIGO],tbestoque[CODIGO],tbentrada[QUANTIDADE])</f>
        <v>0</v>
      </c>
      <c r="G63" s="66" t="n">
        <f aca="false">SUMIF(tbsaida[CODIGO],tbestoque[CODIGO],tbsaida[QUANTIDADE])</f>
        <v>0</v>
      </c>
      <c r="H63" s="66" t="n">
        <f aca="false">E63+F63-G63</f>
        <v>0</v>
      </c>
    </row>
    <row r="64" customFormat="false" ht="18.75" hidden="false" customHeight="false" outlineLevel="0" collapsed="false">
      <c r="A64" s="64" t="n">
        <f aca="false">A63+1</f>
        <v>63</v>
      </c>
      <c r="B64" s="70" t="s">
        <v>85</v>
      </c>
      <c r="C64" s="71" t="s">
        <v>23</v>
      </c>
      <c r="D64" s="72" t="n">
        <v>1</v>
      </c>
      <c r="E64" s="66" t="n">
        <v>0</v>
      </c>
      <c r="F64" s="66" t="n">
        <f aca="false">SUMIF(tbentrada[CODIGO],tbestoque[CODIGO],tbentrada[QUANTIDADE])</f>
        <v>0</v>
      </c>
      <c r="G64" s="66" t="n">
        <f aca="false">SUMIF(tbsaida[CODIGO],tbestoque[CODIGO],tbsaida[QUANTIDADE])</f>
        <v>0</v>
      </c>
      <c r="H64" s="66" t="n">
        <f aca="false">E64+F64-G64</f>
        <v>0</v>
      </c>
    </row>
    <row r="65" customFormat="false" ht="18.75" hidden="false" customHeight="false" outlineLevel="0" collapsed="false">
      <c r="A65" s="64" t="n">
        <f aca="false">A64+1</f>
        <v>64</v>
      </c>
      <c r="B65" s="73" t="s">
        <v>86</v>
      </c>
      <c r="C65" s="71" t="s">
        <v>23</v>
      </c>
      <c r="D65" s="72" t="n">
        <v>1</v>
      </c>
      <c r="E65" s="66" t="n">
        <v>0</v>
      </c>
      <c r="F65" s="66" t="n">
        <f aca="false">SUMIF(tbentrada[CODIGO],tbestoque[CODIGO],tbentrada[QUANTIDADE])</f>
        <v>0</v>
      </c>
      <c r="G65" s="66" t="n">
        <f aca="false">SUMIF(tbsaida[CODIGO],tbestoque[CODIGO],tbsaida[QUANTIDADE])</f>
        <v>0</v>
      </c>
      <c r="H65" s="66" t="n">
        <f aca="false">E65+F65-G65</f>
        <v>0</v>
      </c>
    </row>
    <row r="66" customFormat="false" ht="18.75" hidden="false" customHeight="false" outlineLevel="0" collapsed="false">
      <c r="A66" s="64" t="n">
        <f aca="false">A65+1</f>
        <v>65</v>
      </c>
      <c r="B66" s="73" t="s">
        <v>87</v>
      </c>
      <c r="C66" s="71" t="s">
        <v>23</v>
      </c>
      <c r="D66" s="72" t="n">
        <v>1</v>
      </c>
      <c r="E66" s="66" t="n">
        <v>5</v>
      </c>
      <c r="F66" s="66" t="n">
        <f aca="false">SUMIF(tbentrada[CODIGO],tbestoque[CODIGO],tbentrada[QUANTIDADE])</f>
        <v>0</v>
      </c>
      <c r="G66" s="66" t="n">
        <f aca="false">SUMIF(tbsaida[CODIGO],tbestoque[CODIGO],tbsaida[QUANTIDADE])</f>
        <v>0</v>
      </c>
      <c r="H66" s="66" t="n">
        <f aca="false">E66+F66-G66</f>
        <v>5</v>
      </c>
    </row>
    <row r="67" customFormat="false" ht="18.75" hidden="false" customHeight="false" outlineLevel="0" collapsed="false">
      <c r="A67" s="64" t="n">
        <f aca="false">A66+1</f>
        <v>66</v>
      </c>
      <c r="B67" s="74" t="s">
        <v>88</v>
      </c>
      <c r="C67" s="71" t="s">
        <v>23</v>
      </c>
      <c r="D67" s="72" t="n">
        <v>1</v>
      </c>
      <c r="E67" s="66" t="n">
        <v>0</v>
      </c>
      <c r="F67" s="66" t="n">
        <f aca="false">SUMIF(tbentrada[CODIGO],tbestoque[CODIGO],tbentrada[QUANTIDADE])</f>
        <v>0</v>
      </c>
      <c r="G67" s="66" t="n">
        <f aca="false">SUMIF(tbsaida[CODIGO],tbestoque[CODIGO],tbsaida[QUANTIDADE])</f>
        <v>0</v>
      </c>
      <c r="H67" s="66" t="n">
        <f aca="false">E67+F67-G67</f>
        <v>0</v>
      </c>
    </row>
    <row r="68" customFormat="false" ht="18.75" hidden="false" customHeight="false" outlineLevel="0" collapsed="false">
      <c r="A68" s="64" t="n">
        <f aca="false">A67+1</f>
        <v>67</v>
      </c>
      <c r="B68" s="73" t="s">
        <v>89</v>
      </c>
      <c r="C68" s="71" t="s">
        <v>23</v>
      </c>
      <c r="D68" s="72" t="n">
        <v>1</v>
      </c>
      <c r="E68" s="66" t="n">
        <v>2</v>
      </c>
      <c r="F68" s="66" t="n">
        <f aca="false">SUMIF(tbentrada[CODIGO],tbestoque[CODIGO],tbentrada[QUANTIDADE])</f>
        <v>0</v>
      </c>
      <c r="G68" s="66" t="n">
        <f aca="false">SUMIF(tbsaida[CODIGO],tbestoque[CODIGO],tbsaida[QUANTIDADE])</f>
        <v>0</v>
      </c>
      <c r="H68" s="66" t="n">
        <f aca="false">E68+F68-G68</f>
        <v>2</v>
      </c>
    </row>
    <row r="69" customFormat="false" ht="18.75" hidden="false" customHeight="false" outlineLevel="0" collapsed="false">
      <c r="A69" s="64" t="n">
        <f aca="false">A68+1</f>
        <v>68</v>
      </c>
      <c r="B69" s="70" t="s">
        <v>90</v>
      </c>
      <c r="C69" s="71" t="s">
        <v>23</v>
      </c>
      <c r="D69" s="72" t="n">
        <v>1</v>
      </c>
      <c r="E69" s="66" t="n">
        <v>14</v>
      </c>
      <c r="F69" s="66" t="n">
        <f aca="false">SUMIF(tbentrada[CODIGO],tbestoque[CODIGO],tbentrada[QUANTIDADE])</f>
        <v>2</v>
      </c>
      <c r="G69" s="66" t="n">
        <f aca="false">SUMIF(tbsaida[CODIGO],tbestoque[CODIGO],tbsaida[QUANTIDADE])</f>
        <v>0</v>
      </c>
      <c r="H69" s="66" t="n">
        <f aca="false">E69+F69-G69</f>
        <v>16</v>
      </c>
    </row>
    <row r="70" customFormat="false" ht="18.75" hidden="false" customHeight="false" outlineLevel="0" collapsed="false">
      <c r="A70" s="64" t="n">
        <f aca="false">A69+1</f>
        <v>69</v>
      </c>
      <c r="B70" s="73" t="s">
        <v>91</v>
      </c>
      <c r="C70" s="71" t="s">
        <v>23</v>
      </c>
      <c r="D70" s="72" t="n">
        <v>1</v>
      </c>
      <c r="E70" s="66" t="n">
        <v>0</v>
      </c>
      <c r="F70" s="66" t="n">
        <f aca="false">SUMIF(tbentrada[CODIGO],tbestoque[CODIGO],tbentrada[QUANTIDADE])</f>
        <v>0</v>
      </c>
      <c r="G70" s="66" t="n">
        <f aca="false">SUMIF(tbsaida[CODIGO],tbestoque[CODIGO],tbsaida[QUANTIDADE])</f>
        <v>0</v>
      </c>
      <c r="H70" s="66" t="n">
        <f aca="false">E70+F70-G70</f>
        <v>0</v>
      </c>
    </row>
    <row r="71" customFormat="false" ht="18.75" hidden="false" customHeight="false" outlineLevel="0" collapsed="false">
      <c r="A71" s="64" t="n">
        <f aca="false">A70+1</f>
        <v>70</v>
      </c>
      <c r="B71" s="73" t="s">
        <v>92</v>
      </c>
      <c r="C71" s="71" t="s">
        <v>23</v>
      </c>
      <c r="D71" s="72" t="n">
        <v>1</v>
      </c>
      <c r="E71" s="66" t="n">
        <v>12</v>
      </c>
      <c r="F71" s="66" t="n">
        <f aca="false">SUMIF(tbentrada[CODIGO],tbestoque[CODIGO],tbentrada[QUANTIDADE])</f>
        <v>6</v>
      </c>
      <c r="G71" s="66" t="n">
        <f aca="false">SUMIF(tbsaida[CODIGO],tbestoque[CODIGO],tbsaida[QUANTIDADE])</f>
        <v>9</v>
      </c>
      <c r="H71" s="66" t="n">
        <f aca="false">E71+F71-G71</f>
        <v>9</v>
      </c>
    </row>
    <row r="72" customFormat="false" ht="18.75" hidden="false" customHeight="false" outlineLevel="0" collapsed="false">
      <c r="A72" s="64" t="n">
        <f aca="false">A71+1</f>
        <v>71</v>
      </c>
      <c r="B72" s="73" t="s">
        <v>93</v>
      </c>
      <c r="C72" s="71" t="s">
        <v>23</v>
      </c>
      <c r="D72" s="72" t="n">
        <v>1</v>
      </c>
      <c r="E72" s="66" t="n">
        <v>1</v>
      </c>
      <c r="F72" s="66" t="n">
        <f aca="false">SUMIF(tbentrada[CODIGO],tbestoque[CODIGO],tbentrada[QUANTIDADE])</f>
        <v>0</v>
      </c>
      <c r="G72" s="66" t="n">
        <f aca="false">SUMIF(tbsaida[CODIGO],tbestoque[CODIGO],tbsaida[QUANTIDADE])</f>
        <v>0</v>
      </c>
      <c r="H72" s="66" t="n">
        <f aca="false">E72+F72-G72</f>
        <v>1</v>
      </c>
    </row>
    <row r="73" customFormat="false" ht="18.75" hidden="false" customHeight="false" outlineLevel="0" collapsed="false">
      <c r="A73" s="64" t="n">
        <f aca="false">A72+1</f>
        <v>72</v>
      </c>
      <c r="B73" s="74" t="s">
        <v>94</v>
      </c>
      <c r="C73" s="71" t="s">
        <v>23</v>
      </c>
      <c r="D73" s="72" t="n">
        <v>1</v>
      </c>
      <c r="E73" s="66" t="n">
        <v>3</v>
      </c>
      <c r="F73" s="66" t="n">
        <f aca="false">SUMIF(tbentrada[CODIGO],tbestoque[CODIGO],tbentrada[QUANTIDADE])</f>
        <v>0</v>
      </c>
      <c r="G73" s="66" t="n">
        <f aca="false">SUMIF(tbsaida[CODIGO],tbestoque[CODIGO],tbsaida[QUANTIDADE])</f>
        <v>0</v>
      </c>
      <c r="H73" s="66" t="n">
        <f aca="false">E73+F73-G73</f>
        <v>3</v>
      </c>
    </row>
    <row r="74" customFormat="false" ht="18.75" hidden="false" customHeight="false" outlineLevel="0" collapsed="false">
      <c r="A74" s="64" t="n">
        <f aca="false">A73+1</f>
        <v>73</v>
      </c>
      <c r="B74" s="70" t="s">
        <v>95</v>
      </c>
      <c r="C74" s="71" t="s">
        <v>23</v>
      </c>
      <c r="D74" s="72" t="n">
        <v>1</v>
      </c>
      <c r="E74" s="66" t="n">
        <v>3</v>
      </c>
      <c r="F74" s="66" t="n">
        <f aca="false">SUMIF(tbentrada[CODIGO],tbestoque[CODIGO],tbentrada[QUANTIDADE])</f>
        <v>7</v>
      </c>
      <c r="G74" s="66" t="n">
        <f aca="false">SUMIF(tbsaida[CODIGO],tbestoque[CODIGO],tbsaida[QUANTIDADE])</f>
        <v>0</v>
      </c>
      <c r="H74" s="66" t="n">
        <f aca="false">E74+F74-G74</f>
        <v>10</v>
      </c>
    </row>
    <row r="75" customFormat="false" ht="18.75" hidden="false" customHeight="false" outlineLevel="0" collapsed="false">
      <c r="A75" s="64" t="n">
        <f aca="false">A74+1</f>
        <v>74</v>
      </c>
      <c r="B75" s="73" t="s">
        <v>96</v>
      </c>
      <c r="C75" s="71" t="s">
        <v>23</v>
      </c>
      <c r="D75" s="72" t="n">
        <v>1</v>
      </c>
      <c r="E75" s="66" t="n">
        <v>0</v>
      </c>
      <c r="F75" s="66" t="n">
        <f aca="false">SUMIF(tbentrada[CODIGO],tbestoque[CODIGO],tbentrada[QUANTIDADE])</f>
        <v>0</v>
      </c>
      <c r="G75" s="66" t="n">
        <f aca="false">SUMIF(tbsaida[CODIGO],tbestoque[CODIGO],tbsaida[QUANTIDADE])</f>
        <v>0</v>
      </c>
      <c r="H75" s="66" t="n">
        <f aca="false">E75+F75-G75</f>
        <v>0</v>
      </c>
    </row>
    <row r="76" customFormat="false" ht="18.75" hidden="false" customHeight="false" outlineLevel="0" collapsed="false">
      <c r="A76" s="64" t="n">
        <f aca="false">A75+1</f>
        <v>75</v>
      </c>
      <c r="B76" s="73" t="s">
        <v>97</v>
      </c>
      <c r="C76" s="71" t="s">
        <v>23</v>
      </c>
      <c r="D76" s="72" t="n">
        <v>1</v>
      </c>
      <c r="E76" s="66" t="n">
        <v>0</v>
      </c>
      <c r="F76" s="66" t="n">
        <f aca="false">SUMIF(tbentrada[CODIGO],tbestoque[CODIGO],tbentrada[QUANTIDADE])</f>
        <v>0</v>
      </c>
      <c r="G76" s="66" t="n">
        <f aca="false">SUMIF(tbsaida[CODIGO],tbestoque[CODIGO],tbsaida[QUANTIDADE])</f>
        <v>0</v>
      </c>
      <c r="H76" s="66" t="n">
        <f aca="false">E76+F76-G76</f>
        <v>0</v>
      </c>
    </row>
    <row r="77" customFormat="false" ht="18.75" hidden="false" customHeight="false" outlineLevel="0" collapsed="false">
      <c r="A77" s="64" t="n">
        <f aca="false">A76+1</f>
        <v>76</v>
      </c>
      <c r="B77" s="73" t="s">
        <v>98</v>
      </c>
      <c r="C77" s="71" t="s">
        <v>23</v>
      </c>
      <c r="D77" s="72" t="n">
        <v>1</v>
      </c>
      <c r="E77" s="66" t="n">
        <v>0</v>
      </c>
      <c r="F77" s="66" t="n">
        <f aca="false">SUMIF(tbentrada[CODIGO],tbestoque[CODIGO],tbentrada[QUANTIDADE])</f>
        <v>0</v>
      </c>
      <c r="G77" s="66" t="n">
        <f aca="false">SUMIF(tbsaida[CODIGO],tbestoque[CODIGO],tbsaida[QUANTIDADE])</f>
        <v>0</v>
      </c>
      <c r="H77" s="66" t="n">
        <f aca="false">E77+F77-G77</f>
        <v>0</v>
      </c>
    </row>
    <row r="78" customFormat="false" ht="18.75" hidden="false" customHeight="false" outlineLevel="0" collapsed="false">
      <c r="A78" s="64" t="n">
        <f aca="false">A77+1</f>
        <v>77</v>
      </c>
      <c r="B78" s="73" t="s">
        <v>99</v>
      </c>
      <c r="C78" s="71" t="s">
        <v>23</v>
      </c>
      <c r="D78" s="72" t="n">
        <v>1</v>
      </c>
      <c r="E78" s="66" t="n">
        <v>0</v>
      </c>
      <c r="F78" s="66" t="n">
        <f aca="false">SUMIF(tbentrada[CODIGO],tbestoque[CODIGO],tbentrada[QUANTIDADE])</f>
        <v>0</v>
      </c>
      <c r="G78" s="66" t="n">
        <f aca="false">SUMIF(tbsaida[CODIGO],tbestoque[CODIGO],tbsaida[QUANTIDADE])</f>
        <v>0</v>
      </c>
      <c r="H78" s="66" t="n">
        <f aca="false">E78+F78-G78</f>
        <v>0</v>
      </c>
    </row>
    <row r="79" customFormat="false" ht="18.75" hidden="false" customHeight="false" outlineLevel="0" collapsed="false">
      <c r="A79" s="64" t="n">
        <f aca="false">A78+1</f>
        <v>78</v>
      </c>
      <c r="B79" s="73" t="s">
        <v>100</v>
      </c>
      <c r="C79" s="71" t="s">
        <v>23</v>
      </c>
      <c r="D79" s="72" t="n">
        <v>1</v>
      </c>
      <c r="E79" s="66" t="n">
        <v>4</v>
      </c>
      <c r="F79" s="66" t="n">
        <f aca="false">SUMIF(tbentrada[CODIGO],tbestoque[CODIGO],tbentrada[QUANTIDADE])</f>
        <v>14</v>
      </c>
      <c r="G79" s="66" t="n">
        <f aca="false">SUMIF(tbsaida[CODIGO],tbestoque[CODIGO],tbsaida[QUANTIDADE])</f>
        <v>2</v>
      </c>
      <c r="H79" s="66" t="n">
        <f aca="false">E79+F79-G79</f>
        <v>16</v>
      </c>
    </row>
    <row r="80" customFormat="false" ht="18.75" hidden="false" customHeight="false" outlineLevel="0" collapsed="false">
      <c r="A80" s="64" t="n">
        <f aca="false">A79+1</f>
        <v>79</v>
      </c>
      <c r="B80" s="73" t="s">
        <v>101</v>
      </c>
      <c r="C80" s="71" t="s">
        <v>23</v>
      </c>
      <c r="D80" s="72" t="n">
        <v>1</v>
      </c>
      <c r="E80" s="66" t="n">
        <v>0</v>
      </c>
      <c r="F80" s="66" t="n">
        <f aca="false">SUMIF(tbentrada[CODIGO],tbestoque[CODIGO],tbentrada[QUANTIDADE])</f>
        <v>0</v>
      </c>
      <c r="G80" s="66" t="n">
        <f aca="false">SUMIF(tbsaida[CODIGO],tbestoque[CODIGO],tbsaida[QUANTIDADE])</f>
        <v>0</v>
      </c>
      <c r="H80" s="66" t="n">
        <f aca="false">E80+F80-G80</f>
        <v>0</v>
      </c>
    </row>
    <row r="81" customFormat="false" ht="18.75" hidden="false" customHeight="false" outlineLevel="0" collapsed="false">
      <c r="A81" s="64" t="n">
        <f aca="false">A80+1</f>
        <v>80</v>
      </c>
      <c r="B81" s="70" t="s">
        <v>102</v>
      </c>
      <c r="C81" s="71" t="s">
        <v>23</v>
      </c>
      <c r="D81" s="72" t="n">
        <v>1</v>
      </c>
      <c r="E81" s="66" t="n">
        <v>0</v>
      </c>
      <c r="F81" s="66" t="n">
        <f aca="false">SUMIF(tbentrada[CODIGO],tbestoque[CODIGO],tbentrada[QUANTIDADE])</f>
        <v>0</v>
      </c>
      <c r="G81" s="66" t="n">
        <f aca="false">SUMIF(tbsaida[CODIGO],tbestoque[CODIGO],tbsaida[QUANTIDADE])</f>
        <v>0</v>
      </c>
      <c r="H81" s="66" t="n">
        <f aca="false">E81+F81-G81</f>
        <v>0</v>
      </c>
    </row>
    <row r="82" customFormat="false" ht="18.75" hidden="false" customHeight="false" outlineLevel="0" collapsed="false">
      <c r="A82" s="64" t="n">
        <f aca="false">A81+1</f>
        <v>81</v>
      </c>
      <c r="B82" s="73" t="s">
        <v>103</v>
      </c>
      <c r="C82" s="71" t="s">
        <v>23</v>
      </c>
      <c r="D82" s="72" t="n">
        <v>1</v>
      </c>
      <c r="E82" s="66" t="n">
        <v>13</v>
      </c>
      <c r="F82" s="66" t="n">
        <f aca="false">SUMIF(tbentrada[CODIGO],tbestoque[CODIGO],tbentrada[QUANTIDADE])</f>
        <v>0</v>
      </c>
      <c r="G82" s="66" t="n">
        <f aca="false">SUMIF(tbsaida[CODIGO],tbestoque[CODIGO],tbsaida[QUANTIDADE])</f>
        <v>0</v>
      </c>
      <c r="H82" s="66" t="n">
        <f aca="false">E82+F82-G82</f>
        <v>13</v>
      </c>
    </row>
    <row r="83" customFormat="false" ht="18.75" hidden="false" customHeight="false" outlineLevel="0" collapsed="false">
      <c r="A83" s="64" t="n">
        <f aca="false">A82+1</f>
        <v>82</v>
      </c>
      <c r="B83" s="73" t="s">
        <v>104</v>
      </c>
      <c r="C83" s="71" t="s">
        <v>23</v>
      </c>
      <c r="D83" s="72" t="n">
        <v>1</v>
      </c>
      <c r="E83" s="66" t="n">
        <v>4</v>
      </c>
      <c r="F83" s="66" t="n">
        <f aca="false">SUMIF(tbentrada[CODIGO],tbestoque[CODIGO],tbentrada[QUANTIDADE])</f>
        <v>0</v>
      </c>
      <c r="G83" s="66" t="n">
        <f aca="false">SUMIF(tbsaida[CODIGO],tbestoque[CODIGO],tbsaida[QUANTIDADE])</f>
        <v>0</v>
      </c>
      <c r="H83" s="66" t="n">
        <f aca="false">E83+F83-G83</f>
        <v>4</v>
      </c>
    </row>
    <row r="84" customFormat="false" ht="18.75" hidden="false" customHeight="false" outlineLevel="0" collapsed="false">
      <c r="A84" s="64" t="n">
        <f aca="false">A83+1</f>
        <v>83</v>
      </c>
      <c r="B84" s="73" t="s">
        <v>105</v>
      </c>
      <c r="C84" s="71" t="s">
        <v>23</v>
      </c>
      <c r="D84" s="72" t="n">
        <v>1</v>
      </c>
      <c r="E84" s="66" t="n">
        <v>0</v>
      </c>
      <c r="F84" s="66" t="n">
        <f aca="false">SUMIF(tbentrada[CODIGO],tbestoque[CODIGO],tbentrada[QUANTIDADE])</f>
        <v>0</v>
      </c>
      <c r="G84" s="66" t="n">
        <f aca="false">SUMIF(tbsaida[CODIGO],tbestoque[CODIGO],tbsaida[QUANTIDADE])</f>
        <v>0</v>
      </c>
      <c r="H84" s="66" t="n">
        <f aca="false">E84+F84-G84</f>
        <v>0</v>
      </c>
    </row>
    <row r="85" customFormat="false" ht="18.75" hidden="false" customHeight="false" outlineLevel="0" collapsed="false">
      <c r="A85" s="64" t="n">
        <f aca="false">A84+1</f>
        <v>84</v>
      </c>
      <c r="B85" s="73" t="s">
        <v>106</v>
      </c>
      <c r="C85" s="71" t="s">
        <v>23</v>
      </c>
      <c r="D85" s="72" t="n">
        <v>1</v>
      </c>
      <c r="E85" s="66" t="n">
        <v>5</v>
      </c>
      <c r="F85" s="66" t="n">
        <f aca="false">SUMIF(tbentrada[CODIGO],tbestoque[CODIGO],tbentrada[QUANTIDADE])</f>
        <v>0</v>
      </c>
      <c r="G85" s="66" t="n">
        <f aca="false">SUMIF(tbsaida[CODIGO],tbestoque[CODIGO],tbsaida[QUANTIDADE])</f>
        <v>5</v>
      </c>
      <c r="H85" s="66" t="n">
        <f aca="false">E85+F85-G85</f>
        <v>0</v>
      </c>
    </row>
    <row r="86" customFormat="false" ht="18.75" hidden="false" customHeight="false" outlineLevel="0" collapsed="false">
      <c r="A86" s="64" t="n">
        <f aca="false">A85+1</f>
        <v>85</v>
      </c>
      <c r="B86" s="73" t="s">
        <v>107</v>
      </c>
      <c r="C86" s="71" t="s">
        <v>23</v>
      </c>
      <c r="D86" s="72" t="n">
        <v>1</v>
      </c>
      <c r="E86" s="66" t="n">
        <v>0</v>
      </c>
      <c r="F86" s="66" t="n">
        <f aca="false">SUMIF(tbentrada[CODIGO],tbestoque[CODIGO],tbentrada[QUANTIDADE])</f>
        <v>0</v>
      </c>
      <c r="G86" s="66" t="n">
        <f aca="false">SUMIF(tbsaida[CODIGO],tbestoque[CODIGO],tbsaida[QUANTIDADE])</f>
        <v>0</v>
      </c>
      <c r="H86" s="66" t="n">
        <f aca="false">E86+F86-G86</f>
        <v>0</v>
      </c>
    </row>
    <row r="87" customFormat="false" ht="18.75" hidden="false" customHeight="false" outlineLevel="0" collapsed="false">
      <c r="A87" s="64" t="n">
        <f aca="false">A86+1</f>
        <v>86</v>
      </c>
      <c r="B87" s="73" t="s">
        <v>108</v>
      </c>
      <c r="C87" s="71" t="s">
        <v>23</v>
      </c>
      <c r="D87" s="72" t="n">
        <v>1</v>
      </c>
      <c r="E87" s="66" t="n">
        <v>0</v>
      </c>
      <c r="F87" s="66" t="n">
        <f aca="false">SUMIF(tbentrada[CODIGO],tbestoque[CODIGO],tbentrada[QUANTIDADE])</f>
        <v>0</v>
      </c>
      <c r="G87" s="66" t="n">
        <f aca="false">SUMIF(tbsaida[CODIGO],tbestoque[CODIGO],tbsaida[QUANTIDADE])</f>
        <v>0</v>
      </c>
      <c r="H87" s="66" t="n">
        <f aca="false">E87+F87-G87</f>
        <v>0</v>
      </c>
    </row>
    <row r="88" customFormat="false" ht="18.75" hidden="false" customHeight="false" outlineLevel="0" collapsed="false">
      <c r="A88" s="64" t="n">
        <f aca="false">A87+1</f>
        <v>87</v>
      </c>
      <c r="B88" s="73" t="s">
        <v>109</v>
      </c>
      <c r="C88" s="71" t="s">
        <v>23</v>
      </c>
      <c r="D88" s="72" t="n">
        <v>1</v>
      </c>
      <c r="E88" s="66" t="n">
        <v>0</v>
      </c>
      <c r="F88" s="66" t="n">
        <f aca="false">SUMIF(tbentrada[CODIGO],tbestoque[CODIGO],tbentrada[QUANTIDADE])</f>
        <v>0</v>
      </c>
      <c r="G88" s="66" t="n">
        <f aca="false">SUMIF(tbsaida[CODIGO],tbestoque[CODIGO],tbsaida[QUANTIDADE])</f>
        <v>0</v>
      </c>
      <c r="H88" s="66" t="n">
        <f aca="false">E88+F88-G88</f>
        <v>0</v>
      </c>
    </row>
    <row r="89" customFormat="false" ht="18.75" hidden="false" customHeight="false" outlineLevel="0" collapsed="false">
      <c r="A89" s="64" t="n">
        <f aca="false">A88+1</f>
        <v>88</v>
      </c>
      <c r="B89" s="73" t="s">
        <v>110</v>
      </c>
      <c r="C89" s="71" t="s">
        <v>23</v>
      </c>
      <c r="D89" s="72" t="n">
        <v>1</v>
      </c>
      <c r="E89" s="66" t="n">
        <v>15</v>
      </c>
      <c r="F89" s="66" t="n">
        <f aca="false">SUMIF(tbentrada[CODIGO],tbestoque[CODIGO],tbentrada[QUANTIDADE])</f>
        <v>0</v>
      </c>
      <c r="G89" s="66" t="n">
        <f aca="false">SUMIF(tbsaida[CODIGO],tbestoque[CODIGO],tbsaida[QUANTIDADE])</f>
        <v>0</v>
      </c>
      <c r="H89" s="66" t="n">
        <f aca="false">E89+F89-G89</f>
        <v>15</v>
      </c>
    </row>
    <row r="90" customFormat="false" ht="18.75" hidden="false" customHeight="false" outlineLevel="0" collapsed="false">
      <c r="A90" s="64" t="n">
        <f aca="false">A89+1</f>
        <v>89</v>
      </c>
      <c r="B90" s="73" t="s">
        <v>111</v>
      </c>
      <c r="C90" s="71" t="s">
        <v>23</v>
      </c>
      <c r="D90" s="72" t="n">
        <v>1</v>
      </c>
      <c r="E90" s="66" t="n">
        <v>5</v>
      </c>
      <c r="F90" s="66" t="n">
        <f aca="false">SUMIF(tbentrada[CODIGO],tbestoque[CODIGO],tbentrada[QUANTIDADE])</f>
        <v>0</v>
      </c>
      <c r="G90" s="66" t="n">
        <f aca="false">SUMIF(tbsaida[CODIGO],tbestoque[CODIGO],tbsaida[QUANTIDADE])</f>
        <v>0</v>
      </c>
      <c r="H90" s="66" t="n">
        <f aca="false">E90+F90-G90</f>
        <v>5</v>
      </c>
    </row>
    <row r="91" customFormat="false" ht="18.75" hidden="false" customHeight="false" outlineLevel="0" collapsed="false">
      <c r="A91" s="64" t="n">
        <f aca="false">A90+1</f>
        <v>90</v>
      </c>
      <c r="B91" s="73" t="s">
        <v>112</v>
      </c>
      <c r="C91" s="71" t="s">
        <v>23</v>
      </c>
      <c r="D91" s="72" t="n">
        <v>1</v>
      </c>
      <c r="E91" s="66" t="n">
        <v>1</v>
      </c>
      <c r="F91" s="66" t="n">
        <f aca="false">SUMIF(tbentrada[CODIGO],tbestoque[CODIGO],tbentrada[QUANTIDADE])</f>
        <v>0</v>
      </c>
      <c r="G91" s="66" t="n">
        <f aca="false">SUMIF(tbsaida[CODIGO],tbestoque[CODIGO],tbsaida[QUANTIDADE])</f>
        <v>0</v>
      </c>
      <c r="H91" s="66" t="n">
        <f aca="false">E91+F91-G91</f>
        <v>1</v>
      </c>
    </row>
    <row r="92" customFormat="false" ht="18.75" hidden="false" customHeight="false" outlineLevel="0" collapsed="false">
      <c r="A92" s="64" t="n">
        <f aca="false">A91+1</f>
        <v>91</v>
      </c>
      <c r="B92" s="70" t="s">
        <v>113</v>
      </c>
      <c r="C92" s="71" t="s">
        <v>23</v>
      </c>
      <c r="D92" s="72" t="n">
        <v>1</v>
      </c>
      <c r="E92" s="66" t="n">
        <v>17</v>
      </c>
      <c r="F92" s="66" t="n">
        <f aca="false">SUMIF(tbentrada[CODIGO],tbestoque[CODIGO],tbentrada[QUANTIDADE])</f>
        <v>1</v>
      </c>
      <c r="G92" s="66" t="n">
        <f aca="false">SUMIF(tbsaida[CODIGO],tbestoque[CODIGO],tbsaida[QUANTIDADE])</f>
        <v>0</v>
      </c>
      <c r="H92" s="66" t="n">
        <f aca="false">E92+F92-G92</f>
        <v>18</v>
      </c>
    </row>
    <row r="93" customFormat="false" ht="18.75" hidden="false" customHeight="false" outlineLevel="0" collapsed="false">
      <c r="A93" s="64" t="n">
        <f aca="false">A92+1</f>
        <v>92</v>
      </c>
      <c r="B93" s="73" t="s">
        <v>114</v>
      </c>
      <c r="C93" s="71" t="s">
        <v>23</v>
      </c>
      <c r="D93" s="72" t="n">
        <v>1</v>
      </c>
      <c r="E93" s="66" t="n">
        <v>0</v>
      </c>
      <c r="F93" s="66" t="n">
        <f aca="false">SUMIF(tbentrada[CODIGO],tbestoque[CODIGO],tbentrada[QUANTIDADE])</f>
        <v>0</v>
      </c>
      <c r="G93" s="66" t="n">
        <f aca="false">SUMIF(tbsaida[CODIGO],tbestoque[CODIGO],tbsaida[QUANTIDADE])</f>
        <v>0</v>
      </c>
      <c r="H93" s="66" t="n">
        <f aca="false">E93+F93-G93</f>
        <v>0</v>
      </c>
    </row>
    <row r="94" customFormat="false" ht="18.75" hidden="false" customHeight="false" outlineLevel="0" collapsed="false">
      <c r="A94" s="64" t="n">
        <f aca="false">A93+1</f>
        <v>93</v>
      </c>
      <c r="B94" s="73" t="s">
        <v>115</v>
      </c>
      <c r="C94" s="71" t="s">
        <v>23</v>
      </c>
      <c r="D94" s="72" t="n">
        <v>1</v>
      </c>
      <c r="E94" s="66" t="n">
        <v>2</v>
      </c>
      <c r="F94" s="66" t="n">
        <f aca="false">SUMIF(tbentrada[CODIGO],tbestoque[CODIGO],tbentrada[QUANTIDADE])</f>
        <v>0</v>
      </c>
      <c r="G94" s="66" t="n">
        <f aca="false">SUMIF(tbsaida[CODIGO],tbestoque[CODIGO],tbsaida[QUANTIDADE])</f>
        <v>0</v>
      </c>
      <c r="H94" s="66" t="n">
        <f aca="false">E94+F94-G94</f>
        <v>2</v>
      </c>
    </row>
    <row r="95" customFormat="false" ht="18.75" hidden="false" customHeight="false" outlineLevel="0" collapsed="false">
      <c r="A95" s="64" t="n">
        <f aca="false">A94+1</f>
        <v>94</v>
      </c>
      <c r="B95" s="73" t="s">
        <v>116</v>
      </c>
      <c r="C95" s="71" t="s">
        <v>23</v>
      </c>
      <c r="D95" s="72" t="n">
        <v>1</v>
      </c>
      <c r="E95" s="66" t="n">
        <v>0</v>
      </c>
      <c r="F95" s="66" t="n">
        <f aca="false">SUMIF(tbentrada[CODIGO],tbestoque[CODIGO],tbentrada[QUANTIDADE])</f>
        <v>2</v>
      </c>
      <c r="G95" s="66" t="n">
        <f aca="false">SUMIF(tbsaida[CODIGO],tbestoque[CODIGO],tbsaida[QUANTIDADE])</f>
        <v>0</v>
      </c>
      <c r="H95" s="66" t="n">
        <f aca="false">E95+F95-G95</f>
        <v>2</v>
      </c>
    </row>
    <row r="96" customFormat="false" ht="18.75" hidden="false" customHeight="false" outlineLevel="0" collapsed="false">
      <c r="A96" s="64" t="n">
        <f aca="false">A95+1</f>
        <v>95</v>
      </c>
      <c r="B96" s="70" t="s">
        <v>117</v>
      </c>
      <c r="C96" s="71" t="s">
        <v>23</v>
      </c>
      <c r="D96" s="72" t="n">
        <v>1</v>
      </c>
      <c r="E96" s="66" t="n">
        <v>0</v>
      </c>
      <c r="F96" s="66" t="n">
        <f aca="false">SUMIF(tbentrada[CODIGO],tbestoque[CODIGO],tbentrada[QUANTIDADE])</f>
        <v>0</v>
      </c>
      <c r="G96" s="66" t="n">
        <f aca="false">SUMIF(tbsaida[CODIGO],tbestoque[CODIGO],tbsaida[QUANTIDADE])</f>
        <v>0</v>
      </c>
      <c r="H96" s="66" t="n">
        <f aca="false">E96+F96-G96</f>
        <v>0</v>
      </c>
    </row>
    <row r="97" customFormat="false" ht="18.75" hidden="false" customHeight="false" outlineLevel="0" collapsed="false">
      <c r="A97" s="64" t="n">
        <f aca="false">A96+1</f>
        <v>96</v>
      </c>
      <c r="B97" s="70" t="s">
        <v>118</v>
      </c>
      <c r="C97" s="71" t="s">
        <v>23</v>
      </c>
      <c r="D97" s="72" t="n">
        <v>1</v>
      </c>
      <c r="E97" s="66" t="n">
        <v>0</v>
      </c>
      <c r="F97" s="66" t="n">
        <f aca="false">SUMIF(tbentrada[CODIGO],tbestoque[CODIGO],tbentrada[QUANTIDADE])</f>
        <v>3</v>
      </c>
      <c r="G97" s="66" t="n">
        <f aca="false">SUMIF(tbsaida[CODIGO],tbestoque[CODIGO],tbsaida[QUANTIDADE])</f>
        <v>2</v>
      </c>
      <c r="H97" s="66" t="n">
        <f aca="false">E97+F97-G97</f>
        <v>1</v>
      </c>
    </row>
    <row r="98" customFormat="false" ht="18.75" hidden="false" customHeight="false" outlineLevel="0" collapsed="false">
      <c r="A98" s="64" t="n">
        <f aca="false">A97+1</f>
        <v>97</v>
      </c>
      <c r="B98" s="73" t="s">
        <v>119</v>
      </c>
      <c r="C98" s="71" t="s">
        <v>23</v>
      </c>
      <c r="D98" s="72" t="n">
        <v>1</v>
      </c>
      <c r="E98" s="66" t="n">
        <v>0</v>
      </c>
      <c r="F98" s="66" t="n">
        <f aca="false">SUMIF(tbentrada[CODIGO],tbestoque[CODIGO],tbentrada[QUANTIDADE])</f>
        <v>0</v>
      </c>
      <c r="G98" s="66" t="n">
        <f aca="false">SUMIF(tbsaida[CODIGO],tbestoque[CODIGO],tbsaida[QUANTIDADE])</f>
        <v>0</v>
      </c>
      <c r="H98" s="66" t="n">
        <f aca="false">E98+F98-G98</f>
        <v>0</v>
      </c>
    </row>
    <row r="99" customFormat="false" ht="18.75" hidden="false" customHeight="false" outlineLevel="0" collapsed="false">
      <c r="A99" s="64" t="n">
        <f aca="false">A98+1</f>
        <v>98</v>
      </c>
      <c r="B99" s="70" t="s">
        <v>120</v>
      </c>
      <c r="C99" s="71" t="s">
        <v>23</v>
      </c>
      <c r="D99" s="72" t="n">
        <v>1</v>
      </c>
      <c r="E99" s="66" t="n">
        <v>10</v>
      </c>
      <c r="F99" s="66" t="n">
        <f aca="false">SUMIF(tbentrada[CODIGO],tbestoque[CODIGO],tbentrada[QUANTIDADE])</f>
        <v>1</v>
      </c>
      <c r="G99" s="66" t="n">
        <f aca="false">SUMIF(tbsaida[CODIGO],tbestoque[CODIGO],tbsaida[QUANTIDADE])</f>
        <v>2</v>
      </c>
      <c r="H99" s="66" t="n">
        <f aca="false">E99+F99-G99</f>
        <v>9</v>
      </c>
    </row>
    <row r="100" customFormat="false" ht="18.75" hidden="false" customHeight="false" outlineLevel="0" collapsed="false">
      <c r="A100" s="64" t="n">
        <f aca="false">A99+1</f>
        <v>99</v>
      </c>
      <c r="B100" s="70" t="s">
        <v>121</v>
      </c>
      <c r="C100" s="71" t="s">
        <v>23</v>
      </c>
      <c r="D100" s="72" t="n">
        <v>1</v>
      </c>
      <c r="E100" s="66" t="n">
        <v>35</v>
      </c>
      <c r="F100" s="66" t="n">
        <f aca="false">SUMIF(tbentrada[CODIGO],tbestoque[CODIGO],tbentrada[QUANTIDADE])</f>
        <v>29</v>
      </c>
      <c r="G100" s="66" t="n">
        <f aca="false">SUMIF(tbsaida[CODIGO],tbestoque[CODIGO],tbsaida[QUANTIDADE])</f>
        <v>59</v>
      </c>
      <c r="H100" s="66" t="n">
        <f aca="false">E100+F100-G100</f>
        <v>5</v>
      </c>
    </row>
    <row r="101" customFormat="false" ht="18.75" hidden="false" customHeight="false" outlineLevel="0" collapsed="false">
      <c r="A101" s="64" t="n">
        <f aca="false">A100+1</f>
        <v>100</v>
      </c>
      <c r="B101" s="73" t="s">
        <v>122</v>
      </c>
      <c r="C101" s="71" t="s">
        <v>23</v>
      </c>
      <c r="D101" s="72" t="n">
        <v>1</v>
      </c>
      <c r="E101" s="66" t="n">
        <v>2</v>
      </c>
      <c r="F101" s="66" t="n">
        <f aca="false">SUMIF(tbentrada[CODIGO],tbestoque[CODIGO],tbentrada[QUANTIDADE])</f>
        <v>0</v>
      </c>
      <c r="G101" s="66" t="n">
        <f aca="false">SUMIF(tbsaida[CODIGO],tbestoque[CODIGO],tbsaida[QUANTIDADE])</f>
        <v>2</v>
      </c>
      <c r="H101" s="66" t="n">
        <f aca="false">E101+F101-G101</f>
        <v>0</v>
      </c>
    </row>
    <row r="102" customFormat="false" ht="18.75" hidden="false" customHeight="false" outlineLevel="0" collapsed="false">
      <c r="A102" s="64" t="n">
        <f aca="false">A101+1</f>
        <v>101</v>
      </c>
      <c r="B102" s="73" t="s">
        <v>123</v>
      </c>
      <c r="C102" s="71" t="s">
        <v>23</v>
      </c>
      <c r="D102" s="72" t="n">
        <v>1</v>
      </c>
      <c r="E102" s="66" t="n">
        <v>5</v>
      </c>
      <c r="F102" s="66" t="n">
        <f aca="false">SUMIF(tbentrada[CODIGO],tbestoque[CODIGO],tbentrada[QUANTIDADE])</f>
        <v>0</v>
      </c>
      <c r="G102" s="66" t="n">
        <f aca="false">SUMIF(tbsaida[CODIGO],tbestoque[CODIGO],tbsaida[QUANTIDADE])</f>
        <v>3</v>
      </c>
      <c r="H102" s="66" t="n">
        <f aca="false">E102+F102-G102</f>
        <v>2</v>
      </c>
    </row>
    <row r="103" customFormat="false" ht="18.75" hidden="false" customHeight="false" outlineLevel="0" collapsed="false">
      <c r="A103" s="64" t="n">
        <f aca="false">A102+1</f>
        <v>102</v>
      </c>
      <c r="B103" s="73" t="s">
        <v>124</v>
      </c>
      <c r="C103" s="71" t="s">
        <v>23</v>
      </c>
      <c r="D103" s="72" t="n">
        <v>1</v>
      </c>
      <c r="E103" s="66" t="n">
        <v>2</v>
      </c>
      <c r="F103" s="66" t="n">
        <f aca="false">SUMIF(tbentrada[CODIGO],tbestoque[CODIGO],tbentrada[QUANTIDADE])</f>
        <v>0</v>
      </c>
      <c r="G103" s="66" t="n">
        <f aca="false">SUMIF(tbsaida[CODIGO],tbestoque[CODIGO],tbsaida[QUANTIDADE])</f>
        <v>0</v>
      </c>
      <c r="H103" s="66" t="n">
        <f aca="false">E103+F103-G103</f>
        <v>2</v>
      </c>
    </row>
    <row r="104" customFormat="false" ht="18.75" hidden="false" customHeight="false" outlineLevel="0" collapsed="false">
      <c r="A104" s="64" t="n">
        <f aca="false">A103+1</f>
        <v>103</v>
      </c>
      <c r="B104" s="73" t="s">
        <v>125</v>
      </c>
      <c r="C104" s="71" t="s">
        <v>23</v>
      </c>
      <c r="D104" s="72" t="n">
        <v>1</v>
      </c>
      <c r="E104" s="66" t="n">
        <v>1</v>
      </c>
      <c r="F104" s="66" t="n">
        <f aca="false">SUMIF(tbentrada[CODIGO],tbestoque[CODIGO],tbentrada[QUANTIDADE])</f>
        <v>0</v>
      </c>
      <c r="G104" s="66" t="n">
        <f aca="false">SUMIF(tbsaida[CODIGO],tbestoque[CODIGO],tbsaida[QUANTIDADE])</f>
        <v>1</v>
      </c>
      <c r="H104" s="66" t="n">
        <f aca="false">E104+F104-G104</f>
        <v>0</v>
      </c>
    </row>
    <row r="105" customFormat="false" ht="18.75" hidden="false" customHeight="false" outlineLevel="0" collapsed="false">
      <c r="A105" s="64" t="n">
        <f aca="false">A104+1</f>
        <v>104</v>
      </c>
      <c r="B105" s="70" t="s">
        <v>126</v>
      </c>
      <c r="C105" s="71" t="s">
        <v>23</v>
      </c>
      <c r="D105" s="72" t="n">
        <v>1</v>
      </c>
      <c r="E105" s="66" t="n">
        <v>64</v>
      </c>
      <c r="F105" s="66" t="n">
        <f aca="false">SUMIF(tbentrada[CODIGO],tbestoque[CODIGO],tbentrada[QUANTIDADE])</f>
        <v>433</v>
      </c>
      <c r="G105" s="66" t="n">
        <f aca="false">SUMIF(tbsaida[CODIGO],tbestoque[CODIGO],tbsaida[QUANTIDADE])</f>
        <v>1056</v>
      </c>
      <c r="H105" s="66" t="n">
        <f aca="false">E105+F105-G105</f>
        <v>-559</v>
      </c>
    </row>
    <row r="106" customFormat="false" ht="18.75" hidden="false" customHeight="false" outlineLevel="0" collapsed="false">
      <c r="A106" s="64" t="n">
        <f aca="false">A105+1</f>
        <v>105</v>
      </c>
      <c r="B106" s="73" t="s">
        <v>127</v>
      </c>
      <c r="C106" s="71" t="s">
        <v>23</v>
      </c>
      <c r="D106" s="72" t="n">
        <v>1</v>
      </c>
      <c r="E106" s="66" t="n">
        <v>1</v>
      </c>
      <c r="F106" s="66" t="n">
        <f aca="false">SUMIF(tbentrada[CODIGO],tbestoque[CODIGO],tbentrada[QUANTIDADE])</f>
        <v>7</v>
      </c>
      <c r="G106" s="66" t="n">
        <f aca="false">SUMIF(tbsaida[CODIGO],tbestoque[CODIGO],tbsaida[QUANTIDADE])</f>
        <v>14</v>
      </c>
      <c r="H106" s="66" t="n">
        <f aca="false">E106+F106-G106</f>
        <v>-6</v>
      </c>
    </row>
    <row r="107" customFormat="false" ht="18.75" hidden="false" customHeight="false" outlineLevel="0" collapsed="false">
      <c r="A107" s="64" t="n">
        <f aca="false">A106+1</f>
        <v>106</v>
      </c>
      <c r="B107" s="73" t="s">
        <v>128</v>
      </c>
      <c r="C107" s="71" t="s">
        <v>23</v>
      </c>
      <c r="D107" s="72" t="n">
        <v>1</v>
      </c>
      <c r="E107" s="66" t="n">
        <v>1</v>
      </c>
      <c r="F107" s="66" t="n">
        <f aca="false">SUMIF(tbentrada[CODIGO],tbestoque[CODIGO],tbentrada[QUANTIDADE])</f>
        <v>5</v>
      </c>
      <c r="G107" s="66" t="n">
        <f aca="false">SUMIF(tbsaida[CODIGO],tbestoque[CODIGO],tbsaida[QUANTIDADE])</f>
        <v>12</v>
      </c>
      <c r="H107" s="66" t="n">
        <f aca="false">E107+F107-G107</f>
        <v>-6</v>
      </c>
    </row>
    <row r="108" customFormat="false" ht="18.75" hidden="false" customHeight="false" outlineLevel="0" collapsed="false">
      <c r="A108" s="64" t="n">
        <f aca="false">A107+1</f>
        <v>107</v>
      </c>
      <c r="B108" s="73" t="s">
        <v>129</v>
      </c>
      <c r="C108" s="71" t="s">
        <v>23</v>
      </c>
      <c r="D108" s="72" t="n">
        <v>1</v>
      </c>
      <c r="E108" s="66" t="n">
        <v>1</v>
      </c>
      <c r="F108" s="66" t="n">
        <f aca="false">SUMIF(tbentrada[CODIGO],tbestoque[CODIGO],tbentrada[QUANTIDADE])</f>
        <v>7</v>
      </c>
      <c r="G108" s="66" t="n">
        <f aca="false">SUMIF(tbsaida[CODIGO],tbestoque[CODIGO],tbsaida[QUANTIDADE])</f>
        <v>15</v>
      </c>
      <c r="H108" s="66" t="n">
        <f aca="false">E108+F108-G108</f>
        <v>-7</v>
      </c>
    </row>
    <row r="109" customFormat="false" ht="18.75" hidden="false" customHeight="false" outlineLevel="0" collapsed="false">
      <c r="A109" s="64" t="n">
        <f aca="false">A108+1</f>
        <v>108</v>
      </c>
      <c r="B109" s="73" t="s">
        <v>130</v>
      </c>
      <c r="C109" s="71" t="s">
        <v>23</v>
      </c>
      <c r="D109" s="72" t="n">
        <v>1</v>
      </c>
      <c r="E109" s="66" t="n">
        <v>1</v>
      </c>
      <c r="F109" s="66" t="n">
        <f aca="false">SUMIF(tbentrada[CODIGO],tbestoque[CODIGO],tbentrada[QUANTIDADE])</f>
        <v>6</v>
      </c>
      <c r="G109" s="66" t="n">
        <f aca="false">SUMIF(tbsaida[CODIGO],tbestoque[CODIGO],tbsaida[QUANTIDADE])</f>
        <v>7</v>
      </c>
      <c r="H109" s="66" t="n">
        <f aca="false">E109+F109-G109</f>
        <v>0</v>
      </c>
    </row>
    <row r="110" customFormat="false" ht="18.75" hidden="false" customHeight="false" outlineLevel="0" collapsed="false">
      <c r="A110" s="64" t="n">
        <f aca="false">A109+1</f>
        <v>109</v>
      </c>
      <c r="B110" s="70" t="s">
        <v>131</v>
      </c>
      <c r="C110" s="71" t="s">
        <v>23</v>
      </c>
      <c r="D110" s="72" t="n">
        <v>1</v>
      </c>
      <c r="E110" s="66" t="n">
        <v>0</v>
      </c>
      <c r="F110" s="66" t="n">
        <f aca="false">SUMIF(tbentrada[CODIGO],tbestoque[CODIGO],tbentrada[QUANTIDADE])</f>
        <v>0</v>
      </c>
      <c r="G110" s="66" t="n">
        <f aca="false">SUMIF(tbsaida[CODIGO],tbestoque[CODIGO],tbsaida[QUANTIDADE])</f>
        <v>0</v>
      </c>
      <c r="H110" s="66" t="n">
        <f aca="false">E110+F110-G110</f>
        <v>0</v>
      </c>
    </row>
    <row r="111" customFormat="false" ht="18.75" hidden="false" customHeight="false" outlineLevel="0" collapsed="false">
      <c r="A111" s="64" t="n">
        <f aca="false">A110+1</f>
        <v>110</v>
      </c>
      <c r="B111" s="70" t="s">
        <v>132</v>
      </c>
      <c r="C111" s="71" t="s">
        <v>23</v>
      </c>
      <c r="D111" s="72" t="n">
        <v>1</v>
      </c>
      <c r="E111" s="66" t="n">
        <v>1</v>
      </c>
      <c r="F111" s="66" t="n">
        <f aca="false">SUMIF(tbentrada[CODIGO],tbestoque[CODIGO],tbentrada[QUANTIDADE])</f>
        <v>0</v>
      </c>
      <c r="G111" s="66" t="n">
        <f aca="false">SUMIF(tbsaida[CODIGO],tbestoque[CODIGO],tbsaida[QUANTIDADE])</f>
        <v>0</v>
      </c>
      <c r="H111" s="66" t="n">
        <f aca="false">E111+F111-G111</f>
        <v>1</v>
      </c>
    </row>
    <row r="112" customFormat="false" ht="18.75" hidden="false" customHeight="false" outlineLevel="0" collapsed="false">
      <c r="A112" s="64" t="n">
        <f aca="false">A111+1</f>
        <v>111</v>
      </c>
      <c r="B112" s="73" t="s">
        <v>133</v>
      </c>
      <c r="C112" s="71" t="s">
        <v>23</v>
      </c>
      <c r="D112" s="72" t="n">
        <v>1</v>
      </c>
      <c r="E112" s="66" t="n">
        <v>11</v>
      </c>
      <c r="F112" s="66" t="n">
        <f aca="false">SUMIF(tbentrada[CODIGO],tbestoque[CODIGO],tbentrada[QUANTIDADE])</f>
        <v>0</v>
      </c>
      <c r="G112" s="66" t="n">
        <f aca="false">SUMIF(tbsaida[CODIGO],tbestoque[CODIGO],tbsaida[QUANTIDADE])</f>
        <v>8</v>
      </c>
      <c r="H112" s="66" t="n">
        <f aca="false">E112+F112-G112</f>
        <v>3</v>
      </c>
    </row>
    <row r="113" customFormat="false" ht="18.75" hidden="false" customHeight="false" outlineLevel="0" collapsed="false">
      <c r="A113" s="64" t="n">
        <f aca="false">A112+1</f>
        <v>112</v>
      </c>
      <c r="B113" s="73" t="s">
        <v>134</v>
      </c>
      <c r="C113" s="71" t="s">
        <v>23</v>
      </c>
      <c r="D113" s="72" t="n">
        <v>1</v>
      </c>
      <c r="E113" s="66" t="n">
        <v>3</v>
      </c>
      <c r="F113" s="66" t="n">
        <f aca="false">SUMIF(tbentrada[CODIGO],tbestoque[CODIGO],tbentrada[QUANTIDADE])</f>
        <v>2</v>
      </c>
      <c r="G113" s="66" t="n">
        <f aca="false">SUMIF(tbsaida[CODIGO],tbestoque[CODIGO],tbsaida[QUANTIDADE])</f>
        <v>0</v>
      </c>
      <c r="H113" s="66" t="n">
        <f aca="false">E113+F113-G113</f>
        <v>5</v>
      </c>
    </row>
    <row r="114" customFormat="false" ht="18.75" hidden="false" customHeight="false" outlineLevel="0" collapsed="false">
      <c r="A114" s="64" t="n">
        <f aca="false">A113+1</f>
        <v>113</v>
      </c>
      <c r="B114" s="73" t="s">
        <v>135</v>
      </c>
      <c r="C114" s="71" t="s">
        <v>23</v>
      </c>
      <c r="D114" s="72" t="n">
        <v>1</v>
      </c>
      <c r="E114" s="66" t="n">
        <v>2</v>
      </c>
      <c r="F114" s="66" t="n">
        <f aca="false">SUMIF(tbentrada[CODIGO],tbestoque[CODIGO],tbentrada[QUANTIDADE])</f>
        <v>9</v>
      </c>
      <c r="G114" s="66" t="n">
        <f aca="false">SUMIF(tbsaida[CODIGO],tbestoque[CODIGO],tbsaida[QUANTIDADE])</f>
        <v>13</v>
      </c>
      <c r="H114" s="66" t="n">
        <f aca="false">E114+F114-G114</f>
        <v>-2</v>
      </c>
    </row>
    <row r="115" customFormat="false" ht="18.75" hidden="false" customHeight="false" outlineLevel="0" collapsed="false">
      <c r="A115" s="64" t="n">
        <f aca="false">A114+1</f>
        <v>114</v>
      </c>
      <c r="B115" s="73" t="s">
        <v>136</v>
      </c>
      <c r="C115" s="71" t="s">
        <v>23</v>
      </c>
      <c r="D115" s="72" t="n">
        <v>1</v>
      </c>
      <c r="E115" s="66" t="n">
        <v>2</v>
      </c>
      <c r="F115" s="66" t="n">
        <f aca="false">SUMIF(tbentrada[CODIGO],tbestoque[CODIGO],tbentrada[QUANTIDADE])</f>
        <v>10</v>
      </c>
      <c r="G115" s="66" t="n">
        <f aca="false">SUMIF(tbsaida[CODIGO],tbestoque[CODIGO],tbsaida[QUANTIDADE])</f>
        <v>15</v>
      </c>
      <c r="H115" s="66" t="n">
        <f aca="false">E115+F115-G115</f>
        <v>-3</v>
      </c>
    </row>
    <row r="116" customFormat="false" ht="18.75" hidden="false" customHeight="false" outlineLevel="0" collapsed="false">
      <c r="A116" s="64" t="n">
        <f aca="false">A115+1</f>
        <v>115</v>
      </c>
      <c r="B116" s="73" t="s">
        <v>137</v>
      </c>
      <c r="C116" s="71" t="s">
        <v>23</v>
      </c>
      <c r="D116" s="72" t="n">
        <v>1</v>
      </c>
      <c r="E116" s="66" t="n">
        <v>2</v>
      </c>
      <c r="F116" s="66" t="n">
        <f aca="false">SUMIF(tbentrada[CODIGO],tbestoque[CODIGO],tbentrada[QUANTIDADE])</f>
        <v>10</v>
      </c>
      <c r="G116" s="66" t="n">
        <f aca="false">SUMIF(tbsaida[CODIGO],tbestoque[CODIGO],tbsaida[QUANTIDADE])</f>
        <v>17</v>
      </c>
      <c r="H116" s="66" t="n">
        <f aca="false">E116+F116-G116</f>
        <v>-5</v>
      </c>
    </row>
    <row r="117" customFormat="false" ht="18.75" hidden="false" customHeight="false" outlineLevel="0" collapsed="false">
      <c r="A117" s="64" t="n">
        <f aca="false">A116+1</f>
        <v>116</v>
      </c>
      <c r="B117" s="73" t="s">
        <v>138</v>
      </c>
      <c r="C117" s="71" t="s">
        <v>23</v>
      </c>
      <c r="D117" s="72" t="n">
        <v>1</v>
      </c>
      <c r="E117" s="66" t="n">
        <v>4</v>
      </c>
      <c r="F117" s="66" t="n">
        <f aca="false">SUMIF(tbentrada[CODIGO],tbestoque[CODIGO],tbentrada[QUANTIDADE])</f>
        <v>25</v>
      </c>
      <c r="G117" s="66" t="n">
        <f aca="false">SUMIF(tbsaida[CODIGO],tbestoque[CODIGO],tbsaida[QUANTIDADE])</f>
        <v>50</v>
      </c>
      <c r="H117" s="66" t="n">
        <f aca="false">E117+F117-G117</f>
        <v>-21</v>
      </c>
    </row>
    <row r="118" customFormat="false" ht="18.75" hidden="false" customHeight="false" outlineLevel="0" collapsed="false">
      <c r="A118" s="64" t="n">
        <f aca="false">A117+1</f>
        <v>117</v>
      </c>
      <c r="B118" s="73" t="s">
        <v>139</v>
      </c>
      <c r="C118" s="71" t="s">
        <v>23</v>
      </c>
      <c r="D118" s="72" t="n">
        <v>1</v>
      </c>
      <c r="E118" s="66" t="n">
        <v>2</v>
      </c>
      <c r="F118" s="66" t="n">
        <f aca="false">SUMIF(tbentrada[CODIGO],tbestoque[CODIGO],tbentrada[QUANTIDADE])</f>
        <v>0</v>
      </c>
      <c r="G118" s="66" t="n">
        <f aca="false">SUMIF(tbsaida[CODIGO],tbestoque[CODIGO],tbsaida[QUANTIDADE])</f>
        <v>0</v>
      </c>
      <c r="H118" s="66" t="n">
        <f aca="false">E118+F118-G118</f>
        <v>2</v>
      </c>
    </row>
    <row r="119" customFormat="false" ht="18.75" hidden="false" customHeight="false" outlineLevel="0" collapsed="false">
      <c r="A119" s="64" t="n">
        <f aca="false">A118+1</f>
        <v>118</v>
      </c>
      <c r="B119" s="73" t="s">
        <v>140</v>
      </c>
      <c r="C119" s="71" t="s">
        <v>23</v>
      </c>
      <c r="D119" s="72" t="n">
        <v>1</v>
      </c>
      <c r="E119" s="66" t="n">
        <v>0</v>
      </c>
      <c r="F119" s="66" t="n">
        <f aca="false">SUMIF(tbentrada[CODIGO],tbestoque[CODIGO],tbentrada[QUANTIDADE])</f>
        <v>0</v>
      </c>
      <c r="G119" s="66" t="n">
        <f aca="false">SUMIF(tbsaida[CODIGO],tbestoque[CODIGO],tbsaida[QUANTIDADE])</f>
        <v>0</v>
      </c>
      <c r="H119" s="66" t="n">
        <f aca="false">E119+F119-G119</f>
        <v>0</v>
      </c>
    </row>
    <row r="120" customFormat="false" ht="18.75" hidden="false" customHeight="false" outlineLevel="0" collapsed="false">
      <c r="A120" s="64" t="n">
        <f aca="false">A119+1</f>
        <v>119</v>
      </c>
      <c r="B120" s="73" t="s">
        <v>141</v>
      </c>
      <c r="C120" s="71" t="s">
        <v>23</v>
      </c>
      <c r="D120" s="72" t="n">
        <v>1</v>
      </c>
      <c r="E120" s="66" t="n">
        <v>10</v>
      </c>
      <c r="F120" s="66" t="n">
        <f aca="false">SUMIF(tbentrada[CODIGO],tbestoque[CODIGO],tbentrada[QUANTIDADE])</f>
        <v>0</v>
      </c>
      <c r="G120" s="66" t="n">
        <f aca="false">SUMIF(tbsaida[CODIGO],tbestoque[CODIGO],tbsaida[QUANTIDADE])</f>
        <v>9</v>
      </c>
      <c r="H120" s="66" t="n">
        <f aca="false">E120+F120-G120</f>
        <v>1</v>
      </c>
    </row>
    <row r="121" customFormat="false" ht="18.75" hidden="false" customHeight="false" outlineLevel="0" collapsed="false">
      <c r="A121" s="64" t="n">
        <f aca="false">A120+1</f>
        <v>120</v>
      </c>
      <c r="B121" s="74" t="s">
        <v>142</v>
      </c>
      <c r="C121" s="71" t="s">
        <v>23</v>
      </c>
      <c r="D121" s="72" t="n">
        <v>1</v>
      </c>
      <c r="E121" s="66" t="n">
        <v>30</v>
      </c>
      <c r="F121" s="66" t="n">
        <f aca="false">SUMIF(tbentrada[CODIGO],tbestoque[CODIGO],tbentrada[QUANTIDADE])</f>
        <v>0</v>
      </c>
      <c r="G121" s="66" t="n">
        <f aca="false">SUMIF(tbsaida[CODIGO],tbestoque[CODIGO],tbsaida[QUANTIDADE])</f>
        <v>0</v>
      </c>
      <c r="H121" s="66" t="n">
        <f aca="false">E121+F121-G121</f>
        <v>30</v>
      </c>
    </row>
    <row r="122" customFormat="false" ht="18.75" hidden="false" customHeight="false" outlineLevel="0" collapsed="false">
      <c r="A122" s="64" t="n">
        <f aca="false">A121+1</f>
        <v>121</v>
      </c>
      <c r="B122" s="74" t="s">
        <v>143</v>
      </c>
      <c r="C122" s="71" t="s">
        <v>23</v>
      </c>
      <c r="D122" s="72" t="n">
        <v>1</v>
      </c>
      <c r="E122" s="66" t="n">
        <v>8</v>
      </c>
      <c r="F122" s="66" t="n">
        <f aca="false">SUMIF(tbentrada[CODIGO],tbestoque[CODIGO],tbentrada[QUANTIDADE])</f>
        <v>2</v>
      </c>
      <c r="G122" s="66" t="n">
        <f aca="false">SUMIF(tbsaida[CODIGO],tbestoque[CODIGO],tbsaida[QUANTIDADE])</f>
        <v>3</v>
      </c>
      <c r="H122" s="66" t="n">
        <f aca="false">E122+F122-G122</f>
        <v>7</v>
      </c>
    </row>
    <row r="123" customFormat="false" ht="18.75" hidden="false" customHeight="false" outlineLevel="0" collapsed="false">
      <c r="A123" s="64" t="n">
        <f aca="false">A122+1</f>
        <v>122</v>
      </c>
      <c r="B123" s="74" t="s">
        <v>144</v>
      </c>
      <c r="C123" s="71" t="s">
        <v>23</v>
      </c>
      <c r="D123" s="72" t="n">
        <v>1</v>
      </c>
      <c r="E123" s="66" t="n">
        <v>1</v>
      </c>
      <c r="F123" s="66" t="n">
        <f aca="false">SUMIF(tbentrada[CODIGO],tbestoque[CODIGO],tbentrada[QUANTIDADE])</f>
        <v>0</v>
      </c>
      <c r="G123" s="66" t="n">
        <f aca="false">SUMIF(tbsaida[CODIGO],tbestoque[CODIGO],tbsaida[QUANTIDADE])</f>
        <v>0</v>
      </c>
      <c r="H123" s="66" t="n">
        <f aca="false">E123+F123-G123</f>
        <v>1</v>
      </c>
    </row>
    <row r="124" customFormat="false" ht="18.75" hidden="false" customHeight="false" outlineLevel="0" collapsed="false">
      <c r="A124" s="64" t="n">
        <f aca="false">A123+1</f>
        <v>123</v>
      </c>
      <c r="B124" s="74" t="s">
        <v>145</v>
      </c>
      <c r="C124" s="71" t="s">
        <v>23</v>
      </c>
      <c r="D124" s="72" t="n">
        <v>1</v>
      </c>
      <c r="E124" s="66" t="n">
        <v>1</v>
      </c>
      <c r="F124" s="66" t="n">
        <f aca="false">SUMIF(tbentrada[CODIGO],tbestoque[CODIGO],tbentrada[QUANTIDADE])</f>
        <v>0</v>
      </c>
      <c r="G124" s="66" t="n">
        <f aca="false">SUMIF(tbsaida[CODIGO],tbestoque[CODIGO],tbsaida[QUANTIDADE])</f>
        <v>0</v>
      </c>
      <c r="H124" s="66" t="n">
        <f aca="false">E124+F124-G124</f>
        <v>1</v>
      </c>
    </row>
    <row r="125" customFormat="false" ht="18.75" hidden="false" customHeight="false" outlineLevel="0" collapsed="false">
      <c r="A125" s="64" t="n">
        <f aca="false">A124+1</f>
        <v>124</v>
      </c>
      <c r="B125" s="74" t="s">
        <v>146</v>
      </c>
      <c r="C125" s="71" t="s">
        <v>23</v>
      </c>
      <c r="D125" s="72" t="n">
        <v>1</v>
      </c>
      <c r="E125" s="66" t="n">
        <v>4</v>
      </c>
      <c r="F125" s="66" t="n">
        <f aca="false">SUMIF(tbentrada[CODIGO],tbestoque[CODIGO],tbentrada[QUANTIDADE])</f>
        <v>0</v>
      </c>
      <c r="G125" s="66" t="n">
        <v>3</v>
      </c>
      <c r="H125" s="66" t="n">
        <f aca="false">E125+F125-G125</f>
        <v>1</v>
      </c>
    </row>
    <row r="126" customFormat="false" ht="18.75" hidden="false" customHeight="false" outlineLevel="0" collapsed="false">
      <c r="A126" s="64" t="n">
        <f aca="false">A125+1</f>
        <v>125</v>
      </c>
      <c r="B126" s="74" t="s">
        <v>147</v>
      </c>
      <c r="C126" s="71" t="s">
        <v>23</v>
      </c>
      <c r="D126" s="72" t="n">
        <v>1</v>
      </c>
      <c r="E126" s="66" t="n">
        <v>4</v>
      </c>
      <c r="F126" s="66" t="n">
        <f aca="false">SUMIF(tbentrada[CODIGO],tbestoque[CODIGO],tbentrada[QUANTIDADE])</f>
        <v>2</v>
      </c>
      <c r="G126" s="66" t="n">
        <f aca="false">SUMIF(tbsaida[CODIGO],tbestoque[CODIGO],tbsaida[QUANTIDADE])</f>
        <v>0</v>
      </c>
      <c r="H126" s="66" t="n">
        <f aca="false">E126+F126-G126</f>
        <v>6</v>
      </c>
    </row>
    <row r="127" customFormat="false" ht="18.75" hidden="false" customHeight="false" outlineLevel="0" collapsed="false">
      <c r="A127" s="64" t="n">
        <f aca="false">A126+1</f>
        <v>126</v>
      </c>
      <c r="B127" s="74" t="s">
        <v>148</v>
      </c>
      <c r="C127" s="71" t="s">
        <v>23</v>
      </c>
      <c r="D127" s="72" t="n">
        <v>1</v>
      </c>
      <c r="E127" s="66" t="n">
        <v>0</v>
      </c>
      <c r="F127" s="66" t="n">
        <f aca="false">SUMIF(tbentrada[CODIGO],tbestoque[CODIGO],tbentrada[QUANTIDADE])</f>
        <v>1</v>
      </c>
      <c r="G127" s="66" t="n">
        <f aca="false">SUMIF(tbsaida[CODIGO],tbestoque[CODIGO],tbsaida[QUANTIDADE])</f>
        <v>1</v>
      </c>
      <c r="H127" s="66" t="n">
        <f aca="false">E127+F127-G127</f>
        <v>0</v>
      </c>
    </row>
    <row r="128" customFormat="false" ht="18.75" hidden="false" customHeight="false" outlineLevel="0" collapsed="false">
      <c r="A128" s="64" t="n">
        <f aca="false">A127+1</f>
        <v>127</v>
      </c>
      <c r="B128" s="74" t="s">
        <v>149</v>
      </c>
      <c r="C128" s="71" t="s">
        <v>23</v>
      </c>
      <c r="D128" s="72" t="n">
        <v>1</v>
      </c>
      <c r="E128" s="66" t="n">
        <v>0</v>
      </c>
      <c r="F128" s="66" t="n">
        <f aca="false">SUMIF(tbentrada[CODIGO],tbestoque[CODIGO],tbentrada[QUANTIDADE])</f>
        <v>1</v>
      </c>
      <c r="G128" s="66" t="n">
        <f aca="false">SUMIF(tbsaida[CODIGO],tbestoque[CODIGO],tbsaida[QUANTIDADE])</f>
        <v>3</v>
      </c>
      <c r="H128" s="66" t="n">
        <f aca="false">E128+F128-G128</f>
        <v>-2</v>
      </c>
    </row>
    <row r="129" customFormat="false" ht="18.75" hidden="false" customHeight="false" outlineLevel="0" collapsed="false">
      <c r="A129" s="64" t="n">
        <f aca="false">A128+1</f>
        <v>128</v>
      </c>
      <c r="B129" s="74" t="s">
        <v>150</v>
      </c>
      <c r="C129" s="71" t="s">
        <v>23</v>
      </c>
      <c r="D129" s="72" t="n">
        <v>1</v>
      </c>
      <c r="E129" s="66" t="n">
        <v>0</v>
      </c>
      <c r="F129" s="66" t="n">
        <f aca="false">SUMIF(tbentrada[CODIGO],tbestoque[CODIGO],tbentrada[QUANTIDADE])</f>
        <v>2</v>
      </c>
      <c r="G129" s="66" t="n">
        <f aca="false">SUMIF(tbsaida[CODIGO],tbestoque[CODIGO],tbsaida[QUANTIDADE])</f>
        <v>3</v>
      </c>
      <c r="H129" s="66" t="n">
        <f aca="false">E129+F129-G129</f>
        <v>-1</v>
      </c>
    </row>
    <row r="130" customFormat="false" ht="18.75" hidden="false" customHeight="false" outlineLevel="0" collapsed="false">
      <c r="A130" s="64" t="n">
        <f aca="false">A129+1</f>
        <v>129</v>
      </c>
      <c r="B130" s="74" t="s">
        <v>151</v>
      </c>
      <c r="C130" s="71" t="s">
        <v>23</v>
      </c>
      <c r="D130" s="72" t="n">
        <v>1</v>
      </c>
      <c r="E130" s="66" t="n">
        <v>1</v>
      </c>
      <c r="F130" s="66" t="n">
        <f aca="false">SUMIF(tbentrada[CODIGO],tbestoque[CODIGO],tbentrada[QUANTIDADE])</f>
        <v>2</v>
      </c>
      <c r="G130" s="66" t="n">
        <f aca="false">SUMIF(tbsaida[CODIGO],tbestoque[CODIGO],tbsaida[QUANTIDADE])</f>
        <v>3</v>
      </c>
      <c r="H130" s="66" t="n">
        <f aca="false">E130+F130-G130</f>
        <v>0</v>
      </c>
    </row>
    <row r="131" customFormat="false" ht="18.75" hidden="false" customHeight="false" outlineLevel="0" collapsed="false">
      <c r="A131" s="64" t="n">
        <f aca="false">A130+1</f>
        <v>130</v>
      </c>
      <c r="B131" s="74" t="s">
        <v>152</v>
      </c>
      <c r="C131" s="71" t="s">
        <v>23</v>
      </c>
      <c r="D131" s="72" t="n">
        <v>1</v>
      </c>
      <c r="E131" s="66" t="n">
        <v>1</v>
      </c>
      <c r="F131" s="66" t="n">
        <f aca="false">SUMIF(tbentrada[CODIGO],tbestoque[CODIGO],tbentrada[QUANTIDADE])</f>
        <v>0</v>
      </c>
      <c r="G131" s="66" t="n">
        <f aca="false">SUMIF(tbsaida[CODIGO],tbestoque[CODIGO],tbsaida[QUANTIDADE])</f>
        <v>3</v>
      </c>
      <c r="H131" s="66" t="n">
        <f aca="false">E131+F131-G131</f>
        <v>-2</v>
      </c>
    </row>
    <row r="132" customFormat="false" ht="18.75" hidden="false" customHeight="false" outlineLevel="0" collapsed="false">
      <c r="A132" s="64" t="n">
        <f aca="false">A131+1</f>
        <v>131</v>
      </c>
      <c r="B132" s="74" t="s">
        <v>153</v>
      </c>
      <c r="C132" s="71" t="s">
        <v>23</v>
      </c>
      <c r="D132" s="72" t="n">
        <v>1</v>
      </c>
      <c r="E132" s="66" t="n">
        <v>0</v>
      </c>
      <c r="F132" s="66" t="n">
        <f aca="false">SUMIF(tbentrada[CODIGO],tbestoque[CODIGO],tbentrada[QUANTIDADE])</f>
        <v>1</v>
      </c>
      <c r="G132" s="66" t="n">
        <f aca="false">SUMIF(tbsaida[CODIGO],tbestoque[CODIGO],tbsaida[QUANTIDADE])</f>
        <v>0</v>
      </c>
      <c r="H132" s="66" t="n">
        <f aca="false">E132+F132-G132</f>
        <v>1</v>
      </c>
    </row>
    <row r="133" customFormat="false" ht="18.75" hidden="false" customHeight="false" outlineLevel="0" collapsed="false">
      <c r="A133" s="64" t="n">
        <f aca="false">A132+1</f>
        <v>132</v>
      </c>
      <c r="B133" s="74" t="s">
        <v>154</v>
      </c>
      <c r="C133" s="71" t="s">
        <v>23</v>
      </c>
      <c r="D133" s="72" t="n">
        <v>1</v>
      </c>
      <c r="E133" s="66" t="n">
        <v>2</v>
      </c>
      <c r="F133" s="66" t="n">
        <v>3</v>
      </c>
      <c r="G133" s="66" t="n">
        <f aca="false">SUMIF(tbsaida[CODIGO],tbestoque[CODIGO],tbsaida[QUANTIDADE])</f>
        <v>4</v>
      </c>
      <c r="H133" s="66" t="n">
        <f aca="false">E133+F133-G133</f>
        <v>1</v>
      </c>
    </row>
    <row r="134" customFormat="false" ht="18.75" hidden="false" customHeight="false" outlineLevel="0" collapsed="false">
      <c r="A134" s="64" t="n">
        <f aca="false">A133+1</f>
        <v>133</v>
      </c>
      <c r="B134" s="73" t="s">
        <v>155</v>
      </c>
      <c r="C134" s="71" t="s">
        <v>23</v>
      </c>
      <c r="D134" s="72" t="n">
        <v>1</v>
      </c>
      <c r="E134" s="66" t="n">
        <v>1</v>
      </c>
      <c r="F134" s="66" t="n">
        <f aca="false">SUMIF(tbentrada[CODIGO],tbestoque[CODIGO],tbentrada[QUANTIDADE])</f>
        <v>1</v>
      </c>
      <c r="G134" s="66" t="n">
        <f aca="false">SUMIF(tbsaida[CODIGO],tbestoque[CODIGO],tbsaida[QUANTIDADE])</f>
        <v>1</v>
      </c>
      <c r="H134" s="66" t="n">
        <f aca="false">E134+F134-G134</f>
        <v>1</v>
      </c>
    </row>
    <row r="135" customFormat="false" ht="18.75" hidden="false" customHeight="false" outlineLevel="0" collapsed="false">
      <c r="A135" s="64" t="n">
        <f aca="false">A134+1</f>
        <v>134</v>
      </c>
      <c r="B135" s="73" t="s">
        <v>156</v>
      </c>
      <c r="C135" s="71" t="s">
        <v>23</v>
      </c>
      <c r="D135" s="72" t="n">
        <v>1</v>
      </c>
      <c r="E135" s="66" t="n">
        <v>1</v>
      </c>
      <c r="F135" s="66" t="n">
        <f aca="false">SUMIF(tbentrada[CODIGO],tbestoque[CODIGO],tbentrada[QUANTIDADE])</f>
        <v>2</v>
      </c>
      <c r="G135" s="66" t="n">
        <f aca="false">SUMIF(tbsaida[CODIGO],tbestoque[CODIGO],tbsaida[QUANTIDADE])</f>
        <v>1</v>
      </c>
      <c r="H135" s="66" t="n">
        <f aca="false">E135+F135-G135</f>
        <v>2</v>
      </c>
    </row>
    <row r="136" customFormat="false" ht="18.75" hidden="false" customHeight="false" outlineLevel="0" collapsed="false">
      <c r="A136" s="64" t="n">
        <f aca="false">A135+1</f>
        <v>135</v>
      </c>
      <c r="B136" s="73" t="s">
        <v>157</v>
      </c>
      <c r="C136" s="71" t="s">
        <v>23</v>
      </c>
      <c r="D136" s="72" t="n">
        <v>1</v>
      </c>
      <c r="E136" s="66" t="n">
        <v>1</v>
      </c>
      <c r="F136" s="66" t="n">
        <f aca="false">SUMIF(tbentrada[CODIGO],tbestoque[CODIGO],tbentrada[QUANTIDADE])</f>
        <v>1</v>
      </c>
      <c r="G136" s="66" t="n">
        <f aca="false">SUMIF(tbsaida[CODIGO],tbestoque[CODIGO],tbsaida[QUANTIDADE])</f>
        <v>1</v>
      </c>
      <c r="H136" s="66" t="n">
        <f aca="false">E136+F136-G136</f>
        <v>1</v>
      </c>
    </row>
    <row r="137" customFormat="false" ht="18.75" hidden="false" customHeight="false" outlineLevel="0" collapsed="false">
      <c r="A137" s="64" t="n">
        <f aca="false">A136+1</f>
        <v>136</v>
      </c>
      <c r="B137" s="73" t="s">
        <v>158</v>
      </c>
      <c r="C137" s="71" t="s">
        <v>23</v>
      </c>
      <c r="D137" s="72" t="n">
        <v>1</v>
      </c>
      <c r="E137" s="66" t="n">
        <v>1</v>
      </c>
      <c r="F137" s="66" t="n">
        <f aca="false">SUMIF(tbentrada[CODIGO],tbestoque[CODIGO],tbentrada[QUANTIDADE])</f>
        <v>2</v>
      </c>
      <c r="G137" s="66" t="n">
        <f aca="false">SUMIF(tbsaida[CODIGO],tbestoque[CODIGO],tbsaida[QUANTIDADE])</f>
        <v>6</v>
      </c>
      <c r="H137" s="66" t="n">
        <f aca="false">E137+F137-G137</f>
        <v>-3</v>
      </c>
    </row>
    <row r="138" customFormat="false" ht="18.75" hidden="false" customHeight="false" outlineLevel="0" collapsed="false">
      <c r="A138" s="64" t="n">
        <f aca="false">A137+1</f>
        <v>137</v>
      </c>
      <c r="B138" s="74" t="s">
        <v>159</v>
      </c>
      <c r="C138" s="71" t="s">
        <v>23</v>
      </c>
      <c r="D138" s="72" t="n">
        <v>1</v>
      </c>
      <c r="E138" s="66" t="n">
        <v>1</v>
      </c>
      <c r="F138" s="66" t="n">
        <f aca="false">SUMIF(tbentrada[CODIGO],tbestoque[CODIGO],tbentrada[QUANTIDADE])</f>
        <v>1</v>
      </c>
      <c r="G138" s="66" t="n">
        <f aca="false">SUMIF(tbsaida[CODIGO],tbestoque[CODIGO],tbsaida[QUANTIDADE])</f>
        <v>1</v>
      </c>
      <c r="H138" s="66" t="n">
        <f aca="false">E138+F138-G138</f>
        <v>1</v>
      </c>
    </row>
    <row r="139" customFormat="false" ht="18.75" hidden="false" customHeight="false" outlineLevel="0" collapsed="false">
      <c r="A139" s="64" t="n">
        <f aca="false">A138+1</f>
        <v>138</v>
      </c>
      <c r="B139" s="73" t="s">
        <v>160</v>
      </c>
      <c r="C139" s="71" t="s">
        <v>23</v>
      </c>
      <c r="D139" s="72" t="n">
        <v>1</v>
      </c>
      <c r="E139" s="66" t="n">
        <v>0</v>
      </c>
      <c r="F139" s="66" t="n">
        <v>1</v>
      </c>
      <c r="G139" s="66" t="n">
        <f aca="false">SUMIF(tbsaida[CODIGO],tbestoque[CODIGO],tbsaida[QUANTIDADE])</f>
        <v>0</v>
      </c>
      <c r="H139" s="66" t="n">
        <f aca="false">E139+F139-G139</f>
        <v>1</v>
      </c>
    </row>
    <row r="140" customFormat="false" ht="18.75" hidden="false" customHeight="false" outlineLevel="0" collapsed="false">
      <c r="A140" s="64" t="n">
        <f aca="false">A139+1</f>
        <v>139</v>
      </c>
      <c r="B140" s="73" t="s">
        <v>161</v>
      </c>
      <c r="C140" s="71" t="s">
        <v>23</v>
      </c>
      <c r="D140" s="72" t="n">
        <v>1</v>
      </c>
      <c r="E140" s="66" t="n">
        <v>0</v>
      </c>
      <c r="F140" s="66" t="n">
        <v>1</v>
      </c>
      <c r="G140" s="66" t="n">
        <f aca="false">SUMIF(tbsaida[CODIGO],tbestoque[CODIGO],tbsaida[QUANTIDADE])</f>
        <v>1</v>
      </c>
      <c r="H140" s="66" t="n">
        <f aca="false">E140+F140-G140</f>
        <v>0</v>
      </c>
    </row>
    <row r="141" customFormat="false" ht="18.75" hidden="false" customHeight="false" outlineLevel="0" collapsed="false">
      <c r="A141" s="64" t="n">
        <f aca="false">A140+1</f>
        <v>140</v>
      </c>
      <c r="B141" s="73" t="s">
        <v>162</v>
      </c>
      <c r="C141" s="71" t="s">
        <v>23</v>
      </c>
      <c r="D141" s="72" t="n">
        <v>1</v>
      </c>
      <c r="E141" s="66" t="n">
        <v>0</v>
      </c>
      <c r="F141" s="66" t="n">
        <v>1</v>
      </c>
      <c r="G141" s="66" t="n">
        <f aca="false">SUMIF(tbsaida[CODIGO],tbestoque[CODIGO],tbsaida[QUANTIDADE])</f>
        <v>1</v>
      </c>
      <c r="H141" s="66" t="n">
        <f aca="false">E141+F141-G141</f>
        <v>0</v>
      </c>
    </row>
    <row r="142" customFormat="false" ht="18.75" hidden="false" customHeight="false" outlineLevel="0" collapsed="false">
      <c r="A142" s="64" t="n">
        <f aca="false">A141+1</f>
        <v>141</v>
      </c>
      <c r="B142" s="73" t="s">
        <v>163</v>
      </c>
      <c r="C142" s="71" t="s">
        <v>23</v>
      </c>
      <c r="D142" s="72" t="n">
        <v>1</v>
      </c>
      <c r="E142" s="66" t="n">
        <v>0</v>
      </c>
      <c r="F142" s="66" t="n">
        <v>1</v>
      </c>
      <c r="G142" s="66" t="n">
        <f aca="false">SUMIF(tbsaida[CODIGO],tbestoque[CODIGO],tbsaida[QUANTIDADE])</f>
        <v>0</v>
      </c>
      <c r="H142" s="66" t="n">
        <f aca="false">E142+F142-G142</f>
        <v>1</v>
      </c>
    </row>
    <row r="143" customFormat="false" ht="18.75" hidden="false" customHeight="false" outlineLevel="0" collapsed="false">
      <c r="A143" s="64" t="n">
        <f aca="false">A142+1</f>
        <v>142</v>
      </c>
      <c r="B143" s="74" t="s">
        <v>164</v>
      </c>
      <c r="C143" s="71" t="s">
        <v>23</v>
      </c>
      <c r="D143" s="72" t="n">
        <v>1</v>
      </c>
      <c r="E143" s="66" t="n">
        <v>0</v>
      </c>
      <c r="F143" s="66" t="n">
        <v>1</v>
      </c>
      <c r="G143" s="66" t="n">
        <f aca="false">SUMIF(tbsaida[CODIGO],tbestoque[CODIGO],tbsaida[QUANTIDADE])</f>
        <v>0</v>
      </c>
      <c r="H143" s="66" t="n">
        <f aca="false">E143+F143-G143</f>
        <v>1</v>
      </c>
    </row>
    <row r="144" customFormat="false" ht="15" hidden="false" customHeight="false" outlineLevel="0" collapsed="false">
      <c r="A144" s="64" t="n">
        <f aca="false">A143+1</f>
        <v>143</v>
      </c>
      <c r="B144" s="0" t="s">
        <v>165</v>
      </c>
      <c r="C144" s="71" t="s">
        <v>23</v>
      </c>
      <c r="D144" s="72" t="n">
        <v>1</v>
      </c>
      <c r="E144" s="66" t="n">
        <v>0</v>
      </c>
      <c r="F144" s="66" t="n">
        <f aca="false">SUMIF(tbentrada[CODIGO],tbestoque[CODIGO],tbentrada[QUANTIDADE])</f>
        <v>0</v>
      </c>
      <c r="G144" s="66" t="n">
        <f aca="false">SUMIF(tbsaida[CODIGO],tbestoque[CODIGO],tbsaida[QUANTIDADE])</f>
        <v>0</v>
      </c>
      <c r="H144" s="66" t="n">
        <f aca="false">E144+F144-G144</f>
        <v>0</v>
      </c>
    </row>
    <row r="145" customFormat="false" ht="15" hidden="false" customHeight="false" outlineLevel="0" collapsed="false">
      <c r="A145" s="64" t="n">
        <f aca="false">A144+1</f>
        <v>144</v>
      </c>
      <c r="B145" s="0" t="s">
        <v>166</v>
      </c>
      <c r="C145" s="71" t="s">
        <v>23</v>
      </c>
      <c r="D145" s="72" t="n">
        <v>1</v>
      </c>
      <c r="E145" s="66" t="n">
        <v>0</v>
      </c>
      <c r="F145" s="66" t="n">
        <f aca="false">SUMIF(tbentrada[CODIGO],tbestoque[CODIGO],tbentrada[QUANTIDADE])</f>
        <v>0</v>
      </c>
      <c r="G145" s="66" t="n">
        <f aca="false">SUMIF(tbsaida[CODIGO],tbestoque[CODIGO],tbsaida[QUANTIDADE])</f>
        <v>0</v>
      </c>
      <c r="H145" s="66" t="n">
        <f aca="false">E145+F145-G145</f>
        <v>0</v>
      </c>
    </row>
    <row r="146" customFormat="false" ht="18.75" hidden="false" customHeight="false" outlineLevel="0" collapsed="false">
      <c r="A146" s="64" t="n">
        <f aca="false">A145+1</f>
        <v>145</v>
      </c>
      <c r="B146" s="74" t="s">
        <v>167</v>
      </c>
      <c r="C146" s="71" t="s">
        <v>23</v>
      </c>
      <c r="D146" s="72" t="n">
        <v>1</v>
      </c>
      <c r="E146" s="66" t="n">
        <v>0</v>
      </c>
      <c r="F146" s="66" t="n">
        <f aca="false">SUMIF(tbentrada[CODIGO],tbestoque[CODIGO],tbentrada[QUANTIDADE])</f>
        <v>0</v>
      </c>
      <c r="G146" s="66" t="n">
        <f aca="false">SUMIF(tbsaida[CODIGO],tbestoque[CODIGO],tbsaida[QUANTIDADE])</f>
        <v>2</v>
      </c>
      <c r="H146" s="66" t="n">
        <f aca="false">E146+F146-G146</f>
        <v>-2</v>
      </c>
    </row>
    <row r="147" customFormat="false" ht="15" hidden="false" customHeight="false" outlineLevel="0" collapsed="false">
      <c r="A147" s="64" t="n">
        <f aca="false">A146+1</f>
        <v>146</v>
      </c>
      <c r="B147" s="0" t="s">
        <v>168</v>
      </c>
      <c r="C147" s="71" t="s">
        <v>23</v>
      </c>
      <c r="D147" s="72" t="n">
        <v>1</v>
      </c>
      <c r="E147" s="66" t="n">
        <v>0</v>
      </c>
      <c r="F147" s="66" t="n">
        <f aca="false">SUMIF(tbentrada[CODIGO],tbestoque[CODIGO],tbentrada[QUANTIDADE])</f>
        <v>0</v>
      </c>
      <c r="G147" s="66" t="n">
        <f aca="false">SUMIF(tbsaida[CODIGO],tbestoque[CODIGO],tbsaida[QUANTIDADE])</f>
        <v>0</v>
      </c>
      <c r="H147" s="66" t="n">
        <f aca="false">E147+F147-G147</f>
        <v>0</v>
      </c>
    </row>
    <row r="148" customFormat="false" ht="18.75" hidden="false" customHeight="false" outlineLevel="0" collapsed="false">
      <c r="A148" s="64" t="n">
        <f aca="false">A147+1</f>
        <v>147</v>
      </c>
      <c r="B148" s="73" t="s">
        <v>169</v>
      </c>
      <c r="C148" s="71" t="s">
        <v>23</v>
      </c>
      <c r="D148" s="72" t="n">
        <v>1</v>
      </c>
      <c r="E148" s="66" t="n">
        <v>0</v>
      </c>
      <c r="F148" s="66" t="n">
        <f aca="false">SUMIF(tbentrada[CODIGO],tbestoque[CODIGO],tbentrada[QUANTIDADE])</f>
        <v>0</v>
      </c>
      <c r="G148" s="66" t="n">
        <f aca="false">SUMIF(tbsaida[CODIGO],tbestoque[CODIGO],tbsaida[QUANTIDADE])</f>
        <v>0</v>
      </c>
      <c r="H148" s="66" t="n">
        <f aca="false">E148+F148-G148</f>
        <v>0</v>
      </c>
    </row>
    <row r="149" customFormat="false" ht="18.75" hidden="false" customHeight="false" outlineLevel="0" collapsed="false">
      <c r="A149" s="64" t="n">
        <f aca="false">A148+1</f>
        <v>148</v>
      </c>
      <c r="B149" s="73" t="s">
        <v>170</v>
      </c>
      <c r="C149" s="71" t="s">
        <v>23</v>
      </c>
      <c r="D149" s="72" t="n">
        <v>2</v>
      </c>
      <c r="E149" s="66" t="n">
        <v>0</v>
      </c>
      <c r="F149" s="66" t="n">
        <f aca="false">SUMIF(tbentrada[CODIGO],tbestoque[CODIGO],tbentrada[QUANTIDADE])</f>
        <v>0</v>
      </c>
      <c r="G149" s="66" t="n">
        <f aca="false">SUMIF(tbsaida[CODIGO],tbestoque[CODIGO],tbsaida[QUANTIDADE])</f>
        <v>0</v>
      </c>
      <c r="H149" s="66" t="n">
        <f aca="false">E149+F149-G149</f>
        <v>0</v>
      </c>
    </row>
    <row r="150" customFormat="false" ht="18.75" hidden="false" customHeight="false" outlineLevel="0" collapsed="false">
      <c r="A150" s="64" t="n">
        <f aca="false">A149+1</f>
        <v>149</v>
      </c>
      <c r="B150" s="73" t="s">
        <v>171</v>
      </c>
      <c r="C150" s="71" t="s">
        <v>23</v>
      </c>
      <c r="D150" s="72" t="n">
        <v>3</v>
      </c>
      <c r="E150" s="66" t="n">
        <v>0</v>
      </c>
      <c r="F150" s="66" t="n">
        <f aca="false">SUMIF(tbentrada[CODIGO],tbestoque[CODIGO],tbentrada[QUANTIDADE])</f>
        <v>0</v>
      </c>
      <c r="G150" s="66" t="n">
        <f aca="false">SUMIF(tbsaida[CODIGO],tbestoque[CODIGO],tbsaida[QUANTIDADE])</f>
        <v>0</v>
      </c>
      <c r="H150" s="66" t="n">
        <f aca="false">E150+F150-G150</f>
        <v>0</v>
      </c>
    </row>
    <row r="151" customFormat="false" ht="18.75" hidden="false" customHeight="false" outlineLevel="0" collapsed="false">
      <c r="A151" s="64" t="n">
        <f aca="false">A150+1</f>
        <v>150</v>
      </c>
      <c r="B151" s="73" t="s">
        <v>172</v>
      </c>
      <c r="C151" s="71" t="s">
        <v>23</v>
      </c>
      <c r="D151" s="72" t="n">
        <v>4</v>
      </c>
      <c r="E151" s="66" t="n">
        <v>0</v>
      </c>
      <c r="F151" s="66" t="n">
        <f aca="false">SUMIF(tbentrada[CODIGO],tbestoque[CODIGO],tbentrada[QUANTIDADE])</f>
        <v>0</v>
      </c>
      <c r="G151" s="66" t="n">
        <f aca="false">SUMIF(tbsaida[CODIGO],tbestoque[CODIGO],tbsaida[QUANTIDADE])</f>
        <v>1</v>
      </c>
      <c r="H151" s="66" t="n">
        <f aca="false">E151+F151-G151</f>
        <v>-1</v>
      </c>
    </row>
    <row r="152" customFormat="false" ht="18.75" hidden="false" customHeight="false" outlineLevel="0" collapsed="false">
      <c r="A152" s="64" t="n">
        <f aca="false">A151+1</f>
        <v>151</v>
      </c>
      <c r="B152" s="74" t="s">
        <v>173</v>
      </c>
      <c r="C152" s="71" t="s">
        <v>23</v>
      </c>
      <c r="D152" s="72" t="n">
        <v>5</v>
      </c>
      <c r="E152" s="66" t="n">
        <v>0</v>
      </c>
      <c r="F152" s="66" t="n">
        <f aca="false">SUMIF(tbentrada[CODIGO],tbestoque[CODIGO],tbentrada[QUANTIDADE])</f>
        <v>0</v>
      </c>
      <c r="G152" s="66" t="n">
        <f aca="false">SUMIF(tbsaida[CODIGO],tbestoque[CODIGO],tbsaida[QUANTIDADE])</f>
        <v>0</v>
      </c>
      <c r="H152" s="66" t="n">
        <f aca="false">E152+F152-G152</f>
        <v>0</v>
      </c>
    </row>
    <row r="153" customFormat="false" ht="18.75" hidden="false" customHeight="false" outlineLevel="0" collapsed="false">
      <c r="A153" s="64" t="n">
        <f aca="false">A152+1</f>
        <v>152</v>
      </c>
      <c r="B153" s="74"/>
      <c r="C153" s="71" t="s">
        <v>23</v>
      </c>
      <c r="D153" s="72" t="n">
        <v>6</v>
      </c>
      <c r="E153" s="66" t="n">
        <v>0</v>
      </c>
      <c r="F153" s="66" t="n">
        <f aca="false">SUMIF(tbentrada[CODIGO],tbestoque[CODIGO],tbentrada[QUANTIDADE])</f>
        <v>0</v>
      </c>
      <c r="G153" s="66" t="n">
        <f aca="false">SUMIF(tbsaida[CODIGO],tbestoque[CODIGO],tbsaida[QUANTIDADE])</f>
        <v>0</v>
      </c>
      <c r="H153" s="66" t="n">
        <f aca="false">E153+F153-G153</f>
        <v>0</v>
      </c>
    </row>
    <row r="154" customFormat="false" ht="18.75" hidden="false" customHeight="false" outlineLevel="0" collapsed="false">
      <c r="A154" s="64" t="n">
        <f aca="false">A153+1</f>
        <v>153</v>
      </c>
      <c r="B154" s="74"/>
      <c r="C154" s="71" t="s">
        <v>23</v>
      </c>
      <c r="D154" s="72" t="n">
        <v>7</v>
      </c>
      <c r="E154" s="66" t="n">
        <v>0</v>
      </c>
      <c r="F154" s="66" t="n">
        <f aca="false">SUMIF(tbentrada[CODIGO],tbestoque[CODIGO],tbentrada[QUANTIDADE])</f>
        <v>0</v>
      </c>
      <c r="G154" s="66" t="n">
        <f aca="false">SUMIF(tbsaida[CODIGO],tbestoque[CODIGO],tbsaida[QUANTIDADE])</f>
        <v>0</v>
      </c>
      <c r="H154" s="66" t="n">
        <f aca="false">E154+F154-G154</f>
        <v>0</v>
      </c>
    </row>
    <row r="155" customFormat="false" ht="18.75" hidden="false" customHeight="false" outlineLevel="0" collapsed="false">
      <c r="A155" s="64" t="n">
        <f aca="false">A154+1</f>
        <v>154</v>
      </c>
      <c r="B155" s="74"/>
      <c r="C155" s="71" t="s">
        <v>23</v>
      </c>
      <c r="D155" s="72" t="n">
        <v>8</v>
      </c>
      <c r="E155" s="66" t="n">
        <v>0</v>
      </c>
      <c r="F155" s="66" t="n">
        <f aca="false">SUMIF(tbentrada[CODIGO],tbestoque[CODIGO],tbentrada[QUANTIDADE])</f>
        <v>0</v>
      </c>
      <c r="G155" s="66" t="n">
        <f aca="false">SUMIF(tbsaida[CODIGO],tbestoque[CODIGO],tbsaida[QUANTIDADE])</f>
        <v>0</v>
      </c>
      <c r="H155" s="66" t="n">
        <f aca="false">E155+F155-G155</f>
        <v>0</v>
      </c>
    </row>
    <row r="156" customFormat="false" ht="18.75" hidden="false" customHeight="false" outlineLevel="0" collapsed="false">
      <c r="A156" s="64" t="n">
        <f aca="false">A155+1</f>
        <v>155</v>
      </c>
      <c r="B156" s="74"/>
      <c r="C156" s="71" t="s">
        <v>23</v>
      </c>
      <c r="D156" s="72" t="n">
        <v>9</v>
      </c>
      <c r="E156" s="66" t="n">
        <v>0</v>
      </c>
      <c r="F156" s="66" t="n">
        <f aca="false">SUMIF(tbentrada[CODIGO],tbestoque[CODIGO],tbentrada[QUANTIDADE])</f>
        <v>0</v>
      </c>
      <c r="G156" s="66" t="n">
        <f aca="false">SUMIF(tbsaida[CODIGO],tbestoque[CODIGO],tbsaida[QUANTIDADE])</f>
        <v>0</v>
      </c>
      <c r="H156" s="66" t="n">
        <f aca="false">E156+F156-G156</f>
        <v>0</v>
      </c>
    </row>
    <row r="157" customFormat="false" ht="18.75" hidden="false" customHeight="false" outlineLevel="0" collapsed="false">
      <c r="A157" s="64" t="n">
        <f aca="false">A156+1</f>
        <v>156</v>
      </c>
      <c r="B157" s="74"/>
      <c r="C157" s="71" t="s">
        <v>23</v>
      </c>
      <c r="D157" s="72" t="n">
        <v>10</v>
      </c>
      <c r="E157" s="66" t="n">
        <v>0</v>
      </c>
      <c r="F157" s="66" t="n">
        <f aca="false">SUMIF(tbentrada[CODIGO],tbestoque[CODIGO],tbentrada[QUANTIDADE])</f>
        <v>0</v>
      </c>
      <c r="G157" s="66" t="n">
        <f aca="false">SUMIF(tbsaida[CODIGO],tbestoque[CODIGO],tbsaida[QUANTIDADE])</f>
        <v>0</v>
      </c>
      <c r="H157" s="66" t="n">
        <f aca="false">E157+F157-G157</f>
        <v>0</v>
      </c>
    </row>
    <row r="158" customFormat="false" ht="18.75" hidden="false" customHeight="false" outlineLevel="0" collapsed="false">
      <c r="A158" s="64" t="n">
        <f aca="false">A157+1</f>
        <v>157</v>
      </c>
      <c r="B158" s="74"/>
      <c r="C158" s="71" t="s">
        <v>23</v>
      </c>
      <c r="D158" s="72" t="n">
        <v>11</v>
      </c>
      <c r="E158" s="66" t="n">
        <v>0</v>
      </c>
      <c r="F158" s="66" t="n">
        <f aca="false">SUMIF(tbentrada[CODIGO],tbestoque[CODIGO],tbentrada[QUANTIDADE])</f>
        <v>0</v>
      </c>
      <c r="G158" s="66" t="n">
        <f aca="false">SUMIF(tbsaida[CODIGO],tbestoque[CODIGO],tbsaida[QUANTIDADE])</f>
        <v>0</v>
      </c>
      <c r="H158" s="66" t="n">
        <f aca="false">E158+F158-G158</f>
        <v>0</v>
      </c>
    </row>
    <row r="159" customFormat="false" ht="18.75" hidden="false" customHeight="false" outlineLevel="0" collapsed="false">
      <c r="A159" s="64" t="n">
        <f aca="false">A158+1</f>
        <v>158</v>
      </c>
      <c r="B159" s="74"/>
      <c r="C159" s="71" t="s">
        <v>23</v>
      </c>
      <c r="D159" s="72" t="n">
        <v>12</v>
      </c>
      <c r="E159" s="66" t="n">
        <v>0</v>
      </c>
      <c r="F159" s="66" t="n">
        <f aca="false">SUMIF(tbentrada[CODIGO],tbestoque[CODIGO],tbentrada[QUANTIDADE])</f>
        <v>0</v>
      </c>
      <c r="G159" s="66" t="n">
        <f aca="false">SUMIF(tbsaida[CODIGO],tbestoque[CODIGO],tbsaida[QUANTIDADE])</f>
        <v>0</v>
      </c>
      <c r="H159" s="66" t="n">
        <f aca="false">E159+F159-G159</f>
        <v>0</v>
      </c>
    </row>
    <row r="160" customFormat="false" ht="18.75" hidden="false" customHeight="false" outlineLevel="0" collapsed="false">
      <c r="A160" s="64" t="n">
        <f aca="false">A159+1</f>
        <v>159</v>
      </c>
      <c r="B160" s="74"/>
      <c r="C160" s="71" t="s">
        <v>23</v>
      </c>
      <c r="D160" s="72" t="n">
        <v>13</v>
      </c>
      <c r="E160" s="66" t="n">
        <v>0</v>
      </c>
      <c r="F160" s="66" t="n">
        <f aca="false">SUMIF(tbentrada[CODIGO],tbestoque[CODIGO],tbentrada[QUANTIDADE])</f>
        <v>0</v>
      </c>
      <c r="G160" s="66" t="n">
        <f aca="false">SUMIF(tbsaida[CODIGO],tbestoque[CODIGO],tbsaida[QUANTIDADE])</f>
        <v>0</v>
      </c>
      <c r="H160" s="66" t="n">
        <f aca="false">E160+F160-G160</f>
        <v>0</v>
      </c>
    </row>
    <row r="161" customFormat="false" ht="18.75" hidden="false" customHeight="false" outlineLevel="0" collapsed="false">
      <c r="A161" s="64" t="n">
        <f aca="false">A160+1</f>
        <v>160</v>
      </c>
      <c r="B161" s="74"/>
      <c r="C161" s="71" t="s">
        <v>23</v>
      </c>
      <c r="D161" s="72" t="n">
        <v>14</v>
      </c>
      <c r="E161" s="66" t="n">
        <v>0</v>
      </c>
      <c r="F161" s="66" t="n">
        <f aca="false">SUMIF(tbentrada[CODIGO],tbestoque[CODIGO],tbentrada[QUANTIDADE])</f>
        <v>0</v>
      </c>
      <c r="G161" s="66" t="n">
        <f aca="false">SUMIF(tbsaida[CODIGO],tbestoque[CODIGO],tbsaida[QUANTIDADE])</f>
        <v>0</v>
      </c>
      <c r="H161" s="66" t="n">
        <f aca="false">E161+F161-G161</f>
        <v>0</v>
      </c>
    </row>
    <row r="162" customFormat="false" ht="18.75" hidden="false" customHeight="false" outlineLevel="0" collapsed="false">
      <c r="A162" s="64" t="n">
        <f aca="false">A161+1</f>
        <v>161</v>
      </c>
      <c r="B162" s="74"/>
      <c r="D162" s="72" t="n">
        <v>1</v>
      </c>
      <c r="E162" s="66" t="n">
        <v>0</v>
      </c>
      <c r="F162" s="66" t="n">
        <f aca="false">SUMIF(tbentrada[CODIGO],tbestoque[CODIGO],tbentrada[QUANTIDADE])</f>
        <v>0</v>
      </c>
      <c r="G162" s="66" t="n">
        <f aca="false">SUMIF(tbsaida[CODIGO],tbestoque[CODIGO],tbsaida[QUANTIDADE])</f>
        <v>0</v>
      </c>
      <c r="H162" s="66" t="n">
        <f aca="false">E162+F162-G162</f>
        <v>0</v>
      </c>
    </row>
    <row r="163" customFormat="false" ht="18.75" hidden="false" customHeight="false" outlineLevel="0" collapsed="false">
      <c r="A163" s="64" t="n">
        <f aca="false">A162+1</f>
        <v>162</v>
      </c>
      <c r="B163" s="74"/>
      <c r="D163" s="72" t="n">
        <v>1</v>
      </c>
      <c r="E163" s="66" t="n">
        <v>0</v>
      </c>
      <c r="F163" s="66" t="n">
        <f aca="false">SUMIF(tbentrada[CODIGO],tbestoque[CODIGO],tbentrada[QUANTIDADE])</f>
        <v>0</v>
      </c>
      <c r="G163" s="66" t="n">
        <f aca="false">SUMIF(tbsaida[CODIGO],tbestoque[CODIGO],tbsaida[QUANTIDADE])</f>
        <v>0</v>
      </c>
      <c r="H163" s="66" t="n">
        <f aca="false">E163+F163-G163</f>
        <v>0</v>
      </c>
    </row>
    <row r="164" customFormat="false" ht="18.75" hidden="false" customHeight="false" outlineLevel="0" collapsed="false">
      <c r="A164" s="64" t="n">
        <f aca="false">A163+1</f>
        <v>163</v>
      </c>
      <c r="B164" s="74"/>
      <c r="D164" s="72" t="n">
        <v>1</v>
      </c>
      <c r="E164" s="66" t="n">
        <v>0</v>
      </c>
      <c r="F164" s="66" t="n">
        <f aca="false">SUMIF(tbentrada[CODIGO],tbestoque[CODIGO],tbentrada[QUANTIDADE])</f>
        <v>0</v>
      </c>
      <c r="G164" s="66" t="n">
        <f aca="false">SUMIF(tbsaida[CODIGO],tbestoque[CODIGO],tbsaida[QUANTIDADE])</f>
        <v>0</v>
      </c>
      <c r="H164" s="66" t="n">
        <f aca="false">E164+F164-G164</f>
        <v>0</v>
      </c>
    </row>
    <row r="165" customFormat="false" ht="18.75" hidden="false" customHeight="false" outlineLevel="0" collapsed="false">
      <c r="A165" s="64" t="n">
        <f aca="false">A164+1</f>
        <v>164</v>
      </c>
      <c r="B165" s="74"/>
      <c r="D165" s="72" t="n">
        <v>1</v>
      </c>
      <c r="E165" s="66" t="n">
        <v>0</v>
      </c>
      <c r="F165" s="66" t="n">
        <f aca="false">SUMIF(tbentrada[CODIGO],tbestoque[CODIGO],tbentrada[QUANTIDADE])</f>
        <v>0</v>
      </c>
      <c r="G165" s="66" t="n">
        <f aca="false">SUMIF(tbsaida[CODIGO],tbestoque[CODIGO],tbsaida[QUANTIDADE])</f>
        <v>0</v>
      </c>
      <c r="H165" s="66" t="n">
        <f aca="false">E165+F165-G165</f>
        <v>0</v>
      </c>
    </row>
    <row r="166" customFormat="false" ht="18.75" hidden="false" customHeight="false" outlineLevel="0" collapsed="false">
      <c r="A166" s="64" t="n">
        <f aca="false">A165+1</f>
        <v>165</v>
      </c>
      <c r="B166" s="74"/>
      <c r="D166" s="72" t="n">
        <v>1</v>
      </c>
      <c r="E166" s="66" t="n">
        <v>0</v>
      </c>
      <c r="F166" s="66" t="n">
        <f aca="false">SUMIF(tbentrada[CODIGO],tbestoque[CODIGO],tbentrada[QUANTIDADE])</f>
        <v>0</v>
      </c>
      <c r="G166" s="66" t="n">
        <f aca="false">SUMIF(tbsaida[CODIGO],tbestoque[CODIGO],tbsaida[QUANTIDADE])</f>
        <v>0</v>
      </c>
      <c r="H166" s="66" t="n">
        <f aca="false">E166+F166-G166</f>
        <v>0</v>
      </c>
    </row>
    <row r="167" customFormat="false" ht="18.75" hidden="false" customHeight="false" outlineLevel="0" collapsed="false">
      <c r="A167" s="64" t="n">
        <f aca="false">A166+1</f>
        <v>166</v>
      </c>
      <c r="B167" s="74"/>
      <c r="D167" s="72" t="n">
        <v>1</v>
      </c>
      <c r="E167" s="66" t="n">
        <v>0</v>
      </c>
      <c r="F167" s="66" t="n">
        <f aca="false">SUMIF(tbentrada[CODIGO],tbestoque[CODIGO],tbentrada[QUANTIDADE])</f>
        <v>0</v>
      </c>
      <c r="G167" s="66" t="n">
        <f aca="false">SUMIF(tbsaida[CODIGO],tbestoque[CODIGO],tbsaida[QUANTIDADE])</f>
        <v>0</v>
      </c>
      <c r="H167" s="66" t="n">
        <f aca="false">E167+F167-G167</f>
        <v>0</v>
      </c>
    </row>
    <row r="168" customFormat="false" ht="18.75" hidden="false" customHeight="false" outlineLevel="0" collapsed="false">
      <c r="A168" s="64" t="n">
        <f aca="false">A167+1</f>
        <v>167</v>
      </c>
      <c r="B168" s="74"/>
      <c r="D168" s="72" t="n">
        <v>1</v>
      </c>
      <c r="E168" s="66" t="n">
        <v>0</v>
      </c>
      <c r="F168" s="66" t="n">
        <f aca="false">SUMIF(tbentrada[CODIGO],tbestoque[CODIGO],tbentrada[QUANTIDADE])</f>
        <v>0</v>
      </c>
      <c r="G168" s="66" t="n">
        <f aca="false">SUMIF(tbsaida[CODIGO],tbestoque[CODIGO],tbsaida[QUANTIDADE])</f>
        <v>0</v>
      </c>
      <c r="H168" s="66" t="n">
        <f aca="false">E168+F168-G168</f>
        <v>0</v>
      </c>
    </row>
    <row r="169" customFormat="false" ht="18.75" hidden="false" customHeight="false" outlineLevel="0" collapsed="false">
      <c r="A169" s="64" t="n">
        <f aca="false">A168+1</f>
        <v>168</v>
      </c>
      <c r="B169" s="74"/>
      <c r="D169" s="72" t="n">
        <v>1</v>
      </c>
      <c r="E169" s="66" t="n">
        <v>0</v>
      </c>
      <c r="F169" s="66" t="n">
        <f aca="false">SUMIF(tbentrada[CODIGO],tbestoque[CODIGO],tbentrada[QUANTIDADE])</f>
        <v>0</v>
      </c>
      <c r="G169" s="66" t="n">
        <f aca="false">SUMIF(tbsaida[CODIGO],tbestoque[CODIGO],tbsaida[QUANTIDADE])</f>
        <v>0</v>
      </c>
      <c r="H169" s="66" t="n">
        <f aca="false">E169+F169-G169</f>
        <v>0</v>
      </c>
    </row>
    <row r="170" customFormat="false" ht="18.75" hidden="false" customHeight="false" outlineLevel="0" collapsed="false">
      <c r="A170" s="64" t="n">
        <f aca="false">A169+1</f>
        <v>169</v>
      </c>
      <c r="B170" s="74"/>
      <c r="D170" s="72" t="n">
        <v>1</v>
      </c>
      <c r="E170" s="66" t="n">
        <v>0</v>
      </c>
      <c r="F170" s="66" t="n">
        <f aca="false">SUMIF(tbentrada[CODIGO],tbestoque[CODIGO],tbentrada[QUANTIDADE])</f>
        <v>0</v>
      </c>
      <c r="G170" s="66" t="n">
        <f aca="false">SUMIF(tbsaida[CODIGO],tbestoque[CODIGO],tbsaida[QUANTIDADE])</f>
        <v>0</v>
      </c>
      <c r="H170" s="66" t="n">
        <f aca="false">E170+F170-G170</f>
        <v>0</v>
      </c>
    </row>
    <row r="171" customFormat="false" ht="18.75" hidden="false" customHeight="false" outlineLevel="0" collapsed="false">
      <c r="A171" s="64" t="n">
        <f aca="false">A170+1</f>
        <v>170</v>
      </c>
      <c r="B171" s="74"/>
      <c r="D171" s="72" t="n">
        <v>1</v>
      </c>
      <c r="E171" s="66" t="n">
        <v>0</v>
      </c>
      <c r="F171" s="66" t="n">
        <f aca="false">SUMIF(tbentrada[CODIGO],tbestoque[CODIGO],tbentrada[QUANTIDADE])</f>
        <v>0</v>
      </c>
      <c r="G171" s="66" t="n">
        <f aca="false">SUMIF(tbsaida[CODIGO],tbestoque[CODIGO],tbsaida[QUANTIDADE])</f>
        <v>0</v>
      </c>
      <c r="H171" s="66" t="n">
        <f aca="false">E171+F171-G171</f>
        <v>0</v>
      </c>
    </row>
    <row r="172" customFormat="false" ht="18.75" hidden="false" customHeight="false" outlineLevel="0" collapsed="false">
      <c r="A172" s="64" t="n">
        <f aca="false">A171+1</f>
        <v>171</v>
      </c>
      <c r="B172" s="74"/>
      <c r="D172" s="72" t="n">
        <v>1</v>
      </c>
      <c r="E172" s="66" t="n">
        <v>0</v>
      </c>
      <c r="F172" s="66" t="n">
        <f aca="false">SUMIF(tbentrada[CODIGO],tbestoque[CODIGO],tbentrada[QUANTIDADE])</f>
        <v>0</v>
      </c>
      <c r="G172" s="66" t="n">
        <f aca="false">SUMIF(tbsaida[CODIGO],tbestoque[CODIGO],tbsaida[QUANTIDADE])</f>
        <v>0</v>
      </c>
      <c r="H172" s="66" t="n">
        <f aca="false">E172+F172-G172</f>
        <v>0</v>
      </c>
    </row>
    <row r="173" customFormat="false" ht="18.75" hidden="false" customHeight="false" outlineLevel="0" collapsed="false">
      <c r="A173" s="64" t="n">
        <f aca="false">A172+1</f>
        <v>172</v>
      </c>
      <c r="B173" s="74"/>
      <c r="D173" s="72" t="n">
        <v>1</v>
      </c>
      <c r="E173" s="66" t="n">
        <v>0</v>
      </c>
      <c r="F173" s="66" t="n">
        <f aca="false">SUMIF(tbentrada[CODIGO],tbestoque[CODIGO],tbentrada[QUANTIDADE])</f>
        <v>0</v>
      </c>
      <c r="G173" s="66" t="n">
        <f aca="false">SUMIF(tbsaida[CODIGO],tbestoque[CODIGO],tbsaida[QUANTIDADE])</f>
        <v>0</v>
      </c>
      <c r="H173" s="66" t="n">
        <f aca="false">E173+F173-G173</f>
        <v>0</v>
      </c>
    </row>
    <row r="174" customFormat="false" ht="18.75" hidden="false" customHeight="false" outlineLevel="0" collapsed="false">
      <c r="A174" s="64" t="n">
        <f aca="false">A173+1</f>
        <v>173</v>
      </c>
      <c r="B174" s="74"/>
      <c r="D174" s="72" t="n">
        <v>1</v>
      </c>
      <c r="E174" s="66" t="n">
        <v>0</v>
      </c>
      <c r="F174" s="66" t="n">
        <f aca="false">SUMIF(tbentrada[CODIGO],tbestoque[CODIGO],tbentrada[QUANTIDADE])</f>
        <v>0</v>
      </c>
      <c r="G174" s="66" t="n">
        <f aca="false">SUMIF(tbsaida[CODIGO],tbestoque[CODIGO],tbsaida[QUANTIDADE])</f>
        <v>0</v>
      </c>
      <c r="H174" s="66" t="n">
        <f aca="false">E174+F174-G174</f>
        <v>0</v>
      </c>
    </row>
    <row r="175" customFormat="false" ht="18.75" hidden="false" customHeight="false" outlineLevel="0" collapsed="false">
      <c r="A175" s="64" t="n">
        <f aca="false">A174+1</f>
        <v>174</v>
      </c>
      <c r="B175" s="74"/>
      <c r="D175" s="72" t="n">
        <v>1</v>
      </c>
      <c r="E175" s="66" t="n">
        <v>0</v>
      </c>
      <c r="F175" s="66" t="n">
        <f aca="false">SUMIF(tbentrada[CODIGO],tbestoque[CODIGO],tbentrada[QUANTIDADE])</f>
        <v>0</v>
      </c>
      <c r="G175" s="66" t="n">
        <f aca="false">SUMIF(tbsaida[CODIGO],tbestoque[CODIGO],tbsaida[QUANTIDADE])</f>
        <v>0</v>
      </c>
      <c r="H175" s="66" t="n">
        <f aca="false">E175+F175-G175</f>
        <v>0</v>
      </c>
    </row>
    <row r="176" customFormat="false" ht="18.75" hidden="false" customHeight="false" outlineLevel="0" collapsed="false">
      <c r="A176" s="64" t="n">
        <f aca="false">A175+1</f>
        <v>175</v>
      </c>
      <c r="B176" s="74"/>
      <c r="D176" s="72" t="n">
        <v>1</v>
      </c>
      <c r="E176" s="66" t="n">
        <v>0</v>
      </c>
      <c r="F176" s="66" t="n">
        <f aca="false">SUMIF(tbentrada[CODIGO],tbestoque[CODIGO],tbentrada[QUANTIDADE])</f>
        <v>0</v>
      </c>
      <c r="G176" s="66" t="n">
        <f aca="false">SUMIF(tbsaida[CODIGO],tbestoque[CODIGO],tbsaida[QUANTIDADE])</f>
        <v>0</v>
      </c>
      <c r="H176" s="66" t="n">
        <f aca="false">E176+F176-G176</f>
        <v>0</v>
      </c>
    </row>
    <row r="177" customFormat="false" ht="18.75" hidden="false" customHeight="false" outlineLevel="0" collapsed="false">
      <c r="A177" s="64" t="n">
        <f aca="false">A176+1</f>
        <v>176</v>
      </c>
      <c r="B177" s="74"/>
      <c r="D177" s="72" t="n">
        <v>1</v>
      </c>
      <c r="E177" s="66" t="n">
        <v>0</v>
      </c>
      <c r="F177" s="66" t="n">
        <f aca="false">SUMIF(tbentrada[CODIGO],tbestoque[CODIGO],tbentrada[QUANTIDADE])</f>
        <v>0</v>
      </c>
      <c r="G177" s="66" t="n">
        <f aca="false">SUMIF(tbsaida[CODIGO],tbestoque[CODIGO],tbsaida[QUANTIDADE])</f>
        <v>0</v>
      </c>
      <c r="H177" s="66" t="n">
        <f aca="false">E177+F177-G177</f>
        <v>0</v>
      </c>
    </row>
    <row r="178" customFormat="false" ht="18.75" hidden="false" customHeight="false" outlineLevel="0" collapsed="false">
      <c r="A178" s="64" t="n">
        <f aca="false">A177+1</f>
        <v>177</v>
      </c>
      <c r="B178" s="74"/>
      <c r="D178" s="72" t="n">
        <v>1</v>
      </c>
      <c r="E178" s="66" t="n">
        <v>0</v>
      </c>
      <c r="F178" s="66" t="n">
        <f aca="false">SUMIF(tbentrada[CODIGO],tbestoque[CODIGO],tbentrada[QUANTIDADE])</f>
        <v>0</v>
      </c>
      <c r="G178" s="66" t="n">
        <f aca="false">SUMIF(tbsaida[CODIGO],tbestoque[CODIGO],tbsaida[QUANTIDADE])</f>
        <v>0</v>
      </c>
      <c r="H178" s="66" t="n">
        <f aca="false">E178+F178-G178</f>
        <v>0</v>
      </c>
    </row>
    <row r="179" customFormat="false" ht="18.75" hidden="false" customHeight="false" outlineLevel="0" collapsed="false">
      <c r="A179" s="64" t="n">
        <f aca="false">A178+1</f>
        <v>178</v>
      </c>
      <c r="B179" s="74"/>
      <c r="D179" s="72" t="n">
        <v>1</v>
      </c>
      <c r="E179" s="66" t="n">
        <v>0</v>
      </c>
      <c r="F179" s="66" t="n">
        <f aca="false">SUMIF(tbentrada[CODIGO],tbestoque[CODIGO],tbentrada[QUANTIDADE])</f>
        <v>0</v>
      </c>
      <c r="G179" s="66" t="n">
        <f aca="false">SUMIF(tbsaida[CODIGO],tbestoque[CODIGO],tbsaida[QUANTIDADE])</f>
        <v>0</v>
      </c>
      <c r="H179" s="66" t="n">
        <f aca="false">E179+F179-G179</f>
        <v>0</v>
      </c>
    </row>
    <row r="180" customFormat="false" ht="18.75" hidden="false" customHeight="false" outlineLevel="0" collapsed="false">
      <c r="A180" s="64" t="n">
        <f aca="false">A179+1</f>
        <v>179</v>
      </c>
      <c r="B180" s="74"/>
      <c r="D180" s="72" t="n">
        <v>1</v>
      </c>
      <c r="E180" s="66" t="n">
        <v>0</v>
      </c>
      <c r="F180" s="66" t="n">
        <f aca="false">SUMIF(tbentrada[CODIGO],tbestoque[CODIGO],tbentrada[QUANTIDADE])</f>
        <v>0</v>
      </c>
      <c r="G180" s="66" t="n">
        <f aca="false">SUMIF(tbsaida[CODIGO],tbestoque[CODIGO],tbsaida[QUANTIDADE])</f>
        <v>0</v>
      </c>
      <c r="H180" s="66" t="n">
        <f aca="false">E180+F180-G180</f>
        <v>0</v>
      </c>
    </row>
    <row r="181" customFormat="false" ht="18.75" hidden="false" customHeight="false" outlineLevel="0" collapsed="false">
      <c r="A181" s="64" t="n">
        <f aca="false">A180+1</f>
        <v>180</v>
      </c>
      <c r="B181" s="74"/>
      <c r="D181" s="72" t="n">
        <v>1</v>
      </c>
      <c r="E181" s="66" t="n">
        <v>0</v>
      </c>
      <c r="F181" s="66" t="n">
        <f aca="false">SUMIF(tbentrada[CODIGO],tbestoque[CODIGO],tbentrada[QUANTIDADE])</f>
        <v>0</v>
      </c>
      <c r="G181" s="66" t="n">
        <f aca="false">SUMIF(tbsaida[CODIGO],tbestoque[CODIGO],tbsaida[QUANTIDADE])</f>
        <v>0</v>
      </c>
      <c r="H181" s="66" t="n">
        <f aca="false">E181+F181-G181</f>
        <v>0</v>
      </c>
    </row>
    <row r="182" customFormat="false" ht="18.75" hidden="false" customHeight="false" outlineLevel="0" collapsed="false">
      <c r="A182" s="64" t="n">
        <f aca="false">A181+1</f>
        <v>181</v>
      </c>
      <c r="B182" s="74"/>
      <c r="D182" s="72" t="n">
        <v>1</v>
      </c>
      <c r="E182" s="66" t="n">
        <v>0</v>
      </c>
      <c r="F182" s="66" t="n">
        <f aca="false">SUMIF(tbentrada[CODIGO],tbestoque[CODIGO],tbentrada[QUANTIDADE])</f>
        <v>0</v>
      </c>
      <c r="G182" s="66" t="n">
        <f aca="false">SUMIF(tbsaida[CODIGO],tbestoque[CODIGO],tbsaida[QUANTIDADE])</f>
        <v>0</v>
      </c>
      <c r="H182" s="66" t="n">
        <f aca="false">E182+F182-G182</f>
        <v>0</v>
      </c>
    </row>
    <row r="183" customFormat="false" ht="18.75" hidden="false" customHeight="false" outlineLevel="0" collapsed="false">
      <c r="A183" s="64" t="n">
        <f aca="false">A182+1</f>
        <v>182</v>
      </c>
      <c r="B183" s="74"/>
      <c r="D183" s="72" t="n">
        <v>1</v>
      </c>
      <c r="E183" s="66" t="n">
        <v>0</v>
      </c>
      <c r="F183" s="66" t="n">
        <f aca="false">SUMIF(tbentrada[CODIGO],tbestoque[CODIGO],tbentrada[QUANTIDADE])</f>
        <v>0</v>
      </c>
      <c r="G183" s="66" t="n">
        <f aca="false">SUMIF(tbsaida[CODIGO],tbestoque[CODIGO],tbsaida[QUANTIDADE])</f>
        <v>0</v>
      </c>
      <c r="H183" s="66" t="n">
        <f aca="false">E183+F183-G183</f>
        <v>0</v>
      </c>
    </row>
    <row r="184" customFormat="false" ht="18.75" hidden="false" customHeight="false" outlineLevel="0" collapsed="false">
      <c r="A184" s="64" t="n">
        <f aca="false">A183+1</f>
        <v>183</v>
      </c>
      <c r="B184" s="74"/>
      <c r="D184" s="72" t="n">
        <v>1</v>
      </c>
      <c r="E184" s="66" t="n">
        <v>0</v>
      </c>
      <c r="F184" s="66" t="n">
        <f aca="false">SUMIF(tbentrada[CODIGO],tbestoque[CODIGO],tbentrada[QUANTIDADE])</f>
        <v>0</v>
      </c>
      <c r="G184" s="66" t="n">
        <f aca="false">SUMIF(tbsaida[CODIGO],tbestoque[CODIGO],tbsaida[QUANTIDADE])</f>
        <v>0</v>
      </c>
      <c r="H184" s="66" t="n">
        <f aca="false">E184+F184-G184</f>
        <v>0</v>
      </c>
    </row>
    <row r="185" customFormat="false" ht="18.75" hidden="false" customHeight="false" outlineLevel="0" collapsed="false">
      <c r="A185" s="64"/>
      <c r="B185" s="74"/>
      <c r="D185" s="72" t="n">
        <v>1</v>
      </c>
      <c r="E185" s="66" t="n">
        <v>0</v>
      </c>
      <c r="F185" s="66" t="n">
        <f aca="false">SUMIF(tbentrada[CODIGO],tbestoque[CODIGO],tbentrada[QUANTIDADE])</f>
        <v>0</v>
      </c>
      <c r="G185" s="66" t="n">
        <f aca="false">SUMIF(tbsaida[CODIGO],tbestoque[CODIGO],tbsaida[QUANTIDADE])</f>
        <v>0</v>
      </c>
      <c r="H185" s="66" t="n">
        <f aca="false">E185+F185-G185</f>
        <v>0</v>
      </c>
    </row>
    <row r="186" customFormat="false" ht="15" hidden="false" customHeight="false" outlineLevel="0" collapsed="false">
      <c r="A186" s="64"/>
      <c r="D186" s="72" t="n">
        <v>1</v>
      </c>
      <c r="E186" s="66" t="n">
        <v>0</v>
      </c>
      <c r="F186" s="66" t="n">
        <f aca="false">SUMIF(tbentrada[CODIGO],tbestoque[CODIGO],tbentrada[QUANTIDADE])</f>
        <v>0</v>
      </c>
      <c r="G186" s="66" t="n">
        <f aca="false">SUMIF(tbsaida[CODIGO],tbestoque[CODIGO],tbsaida[QUANTIDADE])</f>
        <v>0</v>
      </c>
      <c r="H186" s="66" t="n">
        <f aca="false">E186+F186-G186</f>
        <v>0</v>
      </c>
    </row>
    <row r="187" customFormat="false" ht="15" hidden="false" customHeight="false" outlineLevel="0" collapsed="false">
      <c r="A187" s="64"/>
      <c r="D187" s="72" t="n">
        <v>1</v>
      </c>
      <c r="E187" s="66" t="n">
        <v>0</v>
      </c>
      <c r="F187" s="66" t="n">
        <f aca="false">SUMIF(tbentrada[CODIGO],tbestoque[CODIGO],tbentrada[QUANTIDADE])</f>
        <v>0</v>
      </c>
      <c r="G187" s="66" t="n">
        <f aca="false">SUMIF(tbsaida[CODIGO],tbestoque[CODIGO],tbsaida[QUANTIDADE])</f>
        <v>0</v>
      </c>
      <c r="H187" s="66" t="n">
        <f aca="false">E187+F187-G187</f>
        <v>0</v>
      </c>
    </row>
    <row r="188" customFormat="false" ht="15" hidden="false" customHeight="false" outlineLevel="0" collapsed="false">
      <c r="A188" s="64"/>
      <c r="D188" s="72" t="n">
        <v>1</v>
      </c>
      <c r="E188" s="66" t="n">
        <v>0</v>
      </c>
      <c r="F188" s="66" t="n">
        <f aca="false">SUMIF(tbentrada[CODIGO],tbestoque[CODIGO],tbentrada[QUANTIDADE])</f>
        <v>0</v>
      </c>
      <c r="G188" s="66" t="n">
        <f aca="false">SUMIF(tbsaida[CODIGO],tbestoque[CODIGO],tbsaida[QUANTIDADE])</f>
        <v>0</v>
      </c>
      <c r="H188" s="66" t="n">
        <f aca="false">E188+F188-G188</f>
        <v>0</v>
      </c>
    </row>
    <row r="189" customFormat="false" ht="15" hidden="false" customHeight="false" outlineLevel="0" collapsed="false">
      <c r="A189" s="64"/>
      <c r="D189" s="72" t="n">
        <v>1</v>
      </c>
      <c r="E189" s="66" t="n">
        <v>0</v>
      </c>
      <c r="F189" s="66" t="n">
        <f aca="false">SUMIF(tbentrada[CODIGO],tbestoque[CODIGO],tbentrada[QUANTIDADE])</f>
        <v>0</v>
      </c>
      <c r="G189" s="66" t="n">
        <f aca="false">SUMIF(tbsaida[CODIGO],tbestoque[CODIGO],tbsaida[QUANTIDADE])</f>
        <v>0</v>
      </c>
      <c r="H189" s="66" t="n">
        <f aca="false">E189+F189-G189</f>
        <v>0</v>
      </c>
    </row>
    <row r="190" customFormat="false" ht="15" hidden="false" customHeight="false" outlineLevel="0" collapsed="false">
      <c r="A190" s="64"/>
      <c r="D190" s="72" t="n">
        <v>1</v>
      </c>
      <c r="E190" s="66" t="n">
        <v>0</v>
      </c>
      <c r="F190" s="66" t="n">
        <f aca="false">SUMIF(tbentrada[CODIGO],tbestoque[CODIGO],tbentrada[QUANTIDADE])</f>
        <v>0</v>
      </c>
      <c r="G190" s="66" t="n">
        <f aca="false">SUMIF(tbsaida[CODIGO],tbestoque[CODIGO],tbsaida[QUANTIDADE])</f>
        <v>0</v>
      </c>
      <c r="H190" s="66" t="n">
        <f aca="false">E190+F190-G190</f>
        <v>0</v>
      </c>
    </row>
    <row r="191" customFormat="false" ht="15" hidden="false" customHeight="false" outlineLevel="0" collapsed="false">
      <c r="A191" s="64"/>
      <c r="D191" s="72" t="n">
        <v>1</v>
      </c>
      <c r="E191" s="66" t="n">
        <v>0</v>
      </c>
      <c r="F191" s="66" t="n">
        <f aca="false">SUMIF(tbentrada[CODIGO],tbestoque[CODIGO],tbentrada[QUANTIDADE])</f>
        <v>0</v>
      </c>
      <c r="G191" s="66" t="n">
        <f aca="false">SUMIF(tbsaida[CODIGO],tbestoque[CODIGO],tbsaida[QUANTIDADE])</f>
        <v>0</v>
      </c>
      <c r="H191" s="66" t="n">
        <f aca="false">E191+F191-G191</f>
        <v>0</v>
      </c>
    </row>
    <row r="192" customFormat="false" ht="15" hidden="false" customHeight="false" outlineLevel="0" collapsed="false">
      <c r="A192" s="64"/>
      <c r="D192" s="72" t="n">
        <v>1</v>
      </c>
      <c r="E192" s="66" t="n">
        <v>0</v>
      </c>
      <c r="F192" s="66" t="n">
        <f aca="false">SUMIF(tbentrada[CODIGO],tbestoque[CODIGO],tbentrada[QUANTIDADE])</f>
        <v>0</v>
      </c>
      <c r="G192" s="66" t="n">
        <f aca="false">SUMIF(tbsaida[CODIGO],tbestoque[CODIGO],tbsaida[QUANTIDADE])</f>
        <v>0</v>
      </c>
      <c r="H192" s="66" t="n">
        <f aca="false">E192+F192-G192</f>
        <v>0</v>
      </c>
    </row>
    <row r="193" customFormat="false" ht="15" hidden="false" customHeight="false" outlineLevel="0" collapsed="false">
      <c r="A193" s="64"/>
      <c r="D193" s="72" t="n">
        <v>1</v>
      </c>
      <c r="E193" s="66" t="n">
        <v>0</v>
      </c>
      <c r="F193" s="66" t="n">
        <f aca="false">SUMIF(tbentrada[CODIGO],tbestoque[CODIGO],tbentrada[QUANTIDADE])</f>
        <v>0</v>
      </c>
      <c r="G193" s="66" t="n">
        <f aca="false">SUMIF(tbsaida[CODIGO],tbestoque[CODIGO],tbsaida[QUANTIDADE])</f>
        <v>0</v>
      </c>
      <c r="H193" s="66" t="n">
        <f aca="false">E193+F193-G193</f>
        <v>0</v>
      </c>
    </row>
    <row r="194" customFormat="false" ht="15" hidden="false" customHeight="false" outlineLevel="0" collapsed="false">
      <c r="A194" s="64"/>
      <c r="D194" s="72" t="n">
        <v>1</v>
      </c>
      <c r="E194" s="66" t="n">
        <v>0</v>
      </c>
      <c r="F194" s="66" t="n">
        <f aca="false">SUMIF(tbentrada[CODIGO],tbestoque[CODIGO],tbentrada[QUANTIDADE])</f>
        <v>0</v>
      </c>
      <c r="G194" s="66" t="n">
        <f aca="false">SUMIF(tbsaida[CODIGO],tbestoque[CODIGO],tbsaida[QUANTIDADE])</f>
        <v>0</v>
      </c>
      <c r="H194" s="66" t="n">
        <f aca="false">E194+F194-G194</f>
        <v>0</v>
      </c>
    </row>
    <row r="195" customFormat="false" ht="15" hidden="false" customHeight="false" outlineLevel="0" collapsed="false">
      <c r="A195" s="64"/>
      <c r="D195" s="72" t="n">
        <v>1</v>
      </c>
      <c r="E195" s="66" t="n">
        <v>0</v>
      </c>
      <c r="F195" s="66" t="n">
        <f aca="false">SUMIF(tbentrada[CODIGO],tbestoque[CODIGO],tbentrada[QUANTIDADE])</f>
        <v>0</v>
      </c>
      <c r="G195" s="66" t="n">
        <f aca="false">SUMIF(tbsaida[CODIGO],tbestoque[CODIGO],tbsaida[QUANTIDADE])</f>
        <v>0</v>
      </c>
      <c r="H195" s="66" t="n">
        <f aca="false">E195+F195-G195</f>
        <v>0</v>
      </c>
    </row>
    <row r="196" customFormat="false" ht="15" hidden="false" customHeight="false" outlineLevel="0" collapsed="false">
      <c r="A196" s="64"/>
      <c r="D196" s="72" t="n">
        <v>1</v>
      </c>
      <c r="E196" s="66" t="n">
        <v>0</v>
      </c>
      <c r="F196" s="66" t="n">
        <f aca="false">SUMIF(tbentrada[CODIGO],tbestoque[CODIGO],tbentrada[QUANTIDADE])</f>
        <v>0</v>
      </c>
      <c r="G196" s="66" t="n">
        <f aca="false">SUMIF(tbsaida[CODIGO],tbestoque[CODIGO],tbsaida[QUANTIDADE])</f>
        <v>0</v>
      </c>
      <c r="H196" s="66" t="n">
        <f aca="false">E196+F196-G196</f>
        <v>0</v>
      </c>
    </row>
    <row r="197" customFormat="false" ht="15" hidden="false" customHeight="false" outlineLevel="0" collapsed="false">
      <c r="A197" s="64"/>
      <c r="D197" s="72" t="n">
        <v>1</v>
      </c>
      <c r="E197" s="66" t="n">
        <v>0</v>
      </c>
      <c r="F197" s="66" t="n">
        <f aca="false">SUMIF(tbentrada[CODIGO],tbestoque[CODIGO],tbentrada[QUANTIDADE])</f>
        <v>0</v>
      </c>
      <c r="G197" s="66" t="n">
        <f aca="false">SUMIF(tbsaida[CODIGO],tbestoque[CODIGO],tbsaida[QUANTIDADE])</f>
        <v>0</v>
      </c>
      <c r="H197" s="66" t="n">
        <f aca="false">E197+F197-G197</f>
        <v>0</v>
      </c>
    </row>
    <row r="198" customFormat="false" ht="15" hidden="false" customHeight="false" outlineLevel="0" collapsed="false">
      <c r="A198" s="64"/>
      <c r="D198" s="72" t="n">
        <v>1</v>
      </c>
      <c r="E198" s="66" t="n">
        <v>0</v>
      </c>
      <c r="F198" s="66" t="n">
        <f aca="false">SUMIF(tbentrada[CODIGO],tbestoque[CODIGO],tbentrada[QUANTIDADE])</f>
        <v>0</v>
      </c>
      <c r="G198" s="66" t="n">
        <f aca="false">SUMIF(tbsaida[CODIGO],tbestoque[CODIGO],tbsaida[QUANTIDADE])</f>
        <v>0</v>
      </c>
      <c r="H198" s="66" t="n">
        <f aca="false">E198+F198-G198</f>
        <v>0</v>
      </c>
    </row>
    <row r="199" customFormat="false" ht="15" hidden="false" customHeight="false" outlineLevel="0" collapsed="false">
      <c r="A199" s="64"/>
      <c r="D199" s="72" t="n">
        <v>1</v>
      </c>
      <c r="E199" s="66" t="n">
        <v>0</v>
      </c>
      <c r="F199" s="66" t="n">
        <f aca="false">SUMIF(tbentrada[CODIGO],tbestoque[CODIGO],tbentrada[QUANTIDADE])</f>
        <v>0</v>
      </c>
      <c r="G199" s="66" t="n">
        <f aca="false">SUMIF(tbsaida[CODIGO],tbestoque[CODIGO],tbsaida[QUANTIDADE])</f>
        <v>0</v>
      </c>
      <c r="H199" s="66" t="n">
        <f aca="false">E199+F199-G199</f>
        <v>0</v>
      </c>
    </row>
    <row r="200" customFormat="false" ht="15" hidden="false" customHeight="false" outlineLevel="0" collapsed="false">
      <c r="A200" s="64"/>
      <c r="D200" s="72" t="n">
        <v>1</v>
      </c>
      <c r="E200" s="66" t="n">
        <v>0</v>
      </c>
      <c r="F200" s="66" t="n">
        <f aca="false">SUMIF(tbentrada[CODIGO],tbestoque[CODIGO],tbentrada[QUANTIDADE])</f>
        <v>0</v>
      </c>
      <c r="G200" s="66" t="n">
        <f aca="false">SUMIF(tbsaida[CODIGO],tbestoque[CODIGO],tbsaida[QUANTIDADE])</f>
        <v>0</v>
      </c>
      <c r="H200" s="66" t="n">
        <f aca="false">E200+F200-G200</f>
        <v>0</v>
      </c>
    </row>
    <row r="201" customFormat="false" ht="15" hidden="false" customHeight="false" outlineLevel="0" collapsed="false">
      <c r="A201" s="64"/>
      <c r="D201" s="72" t="n">
        <v>1</v>
      </c>
      <c r="E201" s="66" t="n">
        <v>0</v>
      </c>
      <c r="F201" s="66" t="n">
        <f aca="false">SUMIF(tbentrada[CODIGO],tbestoque[CODIGO],tbentrada[QUANTIDADE])</f>
        <v>0</v>
      </c>
      <c r="G201" s="66" t="n">
        <f aca="false">SUMIF(tbsaida[CODIGO],tbestoque[CODIGO],tbsaida[QUANTIDADE])</f>
        <v>0</v>
      </c>
      <c r="H201" s="66" t="n">
        <f aca="false">E201+F201-G201</f>
        <v>0</v>
      </c>
    </row>
    <row r="202" customFormat="false" ht="15" hidden="false" customHeight="false" outlineLevel="0" collapsed="false">
      <c r="A202" s="64"/>
      <c r="D202" s="72" t="n">
        <v>1</v>
      </c>
      <c r="E202" s="66" t="n">
        <v>0</v>
      </c>
      <c r="F202" s="66" t="n">
        <f aca="false">SUMIF(tbentrada[CODIGO],tbestoque[CODIGO],tbentrada[QUANTIDADE])</f>
        <v>0</v>
      </c>
      <c r="G202" s="66" t="n">
        <f aca="false">SUMIF(tbsaida[CODIGO],tbestoque[CODIGO],tbsaida[QUANTIDADE])</f>
        <v>0</v>
      </c>
      <c r="H202" s="66" t="n">
        <f aca="false">E202+F202-G202</f>
        <v>0</v>
      </c>
    </row>
    <row r="203" customFormat="false" ht="15" hidden="false" customHeight="false" outlineLevel="0" collapsed="false">
      <c r="A203" s="64"/>
      <c r="D203" s="72" t="n">
        <v>1</v>
      </c>
      <c r="E203" s="66" t="n">
        <v>0</v>
      </c>
      <c r="F203" s="66" t="n">
        <f aca="false">SUMIF(tbentrada[CODIGO],tbestoque[CODIGO],tbentrada[QUANTIDADE])</f>
        <v>0</v>
      </c>
      <c r="G203" s="66" t="n">
        <f aca="false">SUMIF(tbsaida[CODIGO],tbestoque[CODIGO],tbsaida[QUANTIDADE])</f>
        <v>0</v>
      </c>
      <c r="H203" s="66" t="n">
        <f aca="false">E203+F203-G203</f>
        <v>0</v>
      </c>
    </row>
    <row r="204" customFormat="false" ht="15" hidden="false" customHeight="false" outlineLevel="0" collapsed="false">
      <c r="A204" s="64"/>
      <c r="D204" s="72" t="n">
        <v>1</v>
      </c>
      <c r="E204" s="66" t="n">
        <v>0</v>
      </c>
      <c r="F204" s="66" t="n">
        <f aca="false">SUMIF(tbentrada[CODIGO],tbestoque[CODIGO],tbentrada[QUANTIDADE])</f>
        <v>0</v>
      </c>
      <c r="G204" s="66" t="n">
        <f aca="false">SUMIF(tbsaida[CODIGO],tbestoque[CODIGO],tbsaida[QUANTIDADE])</f>
        <v>0</v>
      </c>
      <c r="H204" s="66" t="n">
        <f aca="false">E204+F204-G204</f>
        <v>0</v>
      </c>
    </row>
    <row r="205" customFormat="false" ht="15" hidden="false" customHeight="false" outlineLevel="0" collapsed="false">
      <c r="A205" s="64"/>
      <c r="D205" s="72" t="n">
        <v>1</v>
      </c>
      <c r="E205" s="66" t="n">
        <v>0</v>
      </c>
      <c r="F205" s="66" t="n">
        <f aca="false">SUMIF(tbentrada[CODIGO],tbestoque[CODIGO],tbentrada[QUANTIDADE])</f>
        <v>0</v>
      </c>
      <c r="G205" s="66" t="n">
        <f aca="false">SUMIF(tbsaida[CODIGO],tbestoque[CODIGO],tbsaida[QUANTIDADE])</f>
        <v>0</v>
      </c>
      <c r="H205" s="66" t="n">
        <f aca="false">E205+F205-G205</f>
        <v>0</v>
      </c>
    </row>
    <row r="206" customFormat="false" ht="15" hidden="false" customHeight="false" outlineLevel="0" collapsed="false">
      <c r="A206" s="64"/>
      <c r="D206" s="72" t="n">
        <v>1</v>
      </c>
      <c r="E206" s="66" t="n">
        <v>0</v>
      </c>
      <c r="F206" s="66" t="n">
        <f aca="false">SUMIF(tbentrada[CODIGO],tbestoque[CODIGO],tbentrada[QUANTIDADE])</f>
        <v>0</v>
      </c>
      <c r="G206" s="66" t="n">
        <f aca="false">SUMIF(tbsaida[CODIGO],tbestoque[CODIGO],tbsaida[QUANTIDADE])</f>
        <v>0</v>
      </c>
      <c r="H206" s="66" t="n">
        <f aca="false">E206+F206-G206</f>
        <v>0</v>
      </c>
    </row>
    <row r="207" customFormat="false" ht="15" hidden="false" customHeight="false" outlineLevel="0" collapsed="false">
      <c r="A207" s="64"/>
      <c r="D207" s="72" t="n">
        <v>1</v>
      </c>
      <c r="E207" s="66" t="n">
        <v>0</v>
      </c>
      <c r="F207" s="66" t="n">
        <f aca="false">SUMIF(tbentrada[CODIGO],tbestoque[CODIGO],tbentrada[QUANTIDADE])</f>
        <v>0</v>
      </c>
      <c r="G207" s="66" t="n">
        <f aca="false">SUMIF(tbsaida[CODIGO],tbestoque[CODIGO],tbsaida[QUANTIDADE])</f>
        <v>0</v>
      </c>
      <c r="H207" s="66" t="n">
        <f aca="false">E207+F207-G207</f>
        <v>0</v>
      </c>
    </row>
    <row r="208" customFormat="false" ht="15" hidden="false" customHeight="false" outlineLevel="0" collapsed="false">
      <c r="A208" s="64"/>
      <c r="D208" s="72" t="n">
        <v>1</v>
      </c>
      <c r="E208" s="66" t="n">
        <v>0</v>
      </c>
      <c r="F208" s="66" t="n">
        <f aca="false">SUMIF(tbentrada[CODIGO],tbestoque[CODIGO],tbentrada[QUANTIDADE])</f>
        <v>0</v>
      </c>
      <c r="G208" s="66" t="n">
        <f aca="false">SUMIF(tbsaida[CODIGO],tbestoque[CODIGO],tbsaida[QUANTIDADE])</f>
        <v>0</v>
      </c>
      <c r="H208" s="66" t="n">
        <f aca="false">E208+F208-G208</f>
        <v>0</v>
      </c>
    </row>
    <row r="209" customFormat="false" ht="15" hidden="false" customHeight="false" outlineLevel="0" collapsed="false">
      <c r="A209" s="64"/>
      <c r="D209" s="72" t="n">
        <v>1</v>
      </c>
      <c r="E209" s="66" t="n">
        <v>0</v>
      </c>
      <c r="F209" s="66" t="n">
        <f aca="false">SUMIF(tbentrada[CODIGO],tbestoque[CODIGO],tbentrada[QUANTIDADE])</f>
        <v>0</v>
      </c>
      <c r="G209" s="66" t="n">
        <f aca="false">SUMIF(tbsaida[CODIGO],tbestoque[CODIGO],tbsaida[QUANTIDADE])</f>
        <v>0</v>
      </c>
      <c r="H209" s="66" t="n">
        <f aca="false">E209+F209-G209</f>
        <v>0</v>
      </c>
    </row>
    <row r="210" customFormat="false" ht="15" hidden="false" customHeight="false" outlineLevel="0" collapsed="false">
      <c r="A210" s="64"/>
      <c r="D210" s="72" t="n">
        <v>1</v>
      </c>
      <c r="E210" s="66" t="n">
        <v>0</v>
      </c>
      <c r="F210" s="66" t="n">
        <f aca="false">SUMIF(tbentrada[CODIGO],tbestoque[CODIGO],tbentrada[QUANTIDADE])</f>
        <v>0</v>
      </c>
      <c r="G210" s="66" t="n">
        <f aca="false">SUMIF(tbsaida[CODIGO],tbestoque[CODIGO],tbsaida[QUANTIDADE])</f>
        <v>0</v>
      </c>
      <c r="H210" s="66" t="n">
        <f aca="false">E210+F210-G210</f>
        <v>0</v>
      </c>
    </row>
    <row r="211" customFormat="false" ht="15" hidden="false" customHeight="false" outlineLevel="0" collapsed="false">
      <c r="A211" s="64"/>
      <c r="D211" s="72" t="n">
        <v>1</v>
      </c>
      <c r="E211" s="66" t="n">
        <v>0</v>
      </c>
      <c r="F211" s="66" t="n">
        <f aca="false">SUMIF(tbentrada[CODIGO],tbestoque[CODIGO],tbentrada[QUANTIDADE])</f>
        <v>0</v>
      </c>
      <c r="G211" s="66" t="n">
        <f aca="false">SUMIF(tbsaida[CODIGO],tbestoque[CODIGO],tbsaida[QUANTIDADE])</f>
        <v>0</v>
      </c>
      <c r="H211" s="66" t="n">
        <f aca="false">E211+F211-G211</f>
        <v>0</v>
      </c>
    </row>
    <row r="212" customFormat="false" ht="15" hidden="false" customHeight="false" outlineLevel="0" collapsed="false">
      <c r="A212" s="64"/>
      <c r="D212" s="72" t="n">
        <v>1</v>
      </c>
      <c r="E212" s="66" t="n">
        <v>0</v>
      </c>
      <c r="F212" s="66" t="n">
        <f aca="false">SUMIF(tbentrada[CODIGO],tbestoque[CODIGO],tbentrada[QUANTIDADE])</f>
        <v>0</v>
      </c>
      <c r="G212" s="66" t="n">
        <f aca="false">SUMIF(tbsaida[CODIGO],tbestoque[CODIGO],tbsaida[QUANTIDADE])</f>
        <v>0</v>
      </c>
      <c r="H212" s="66" t="n">
        <f aca="false">E212+F212-G212</f>
        <v>0</v>
      </c>
    </row>
    <row r="213" customFormat="false" ht="15" hidden="false" customHeight="false" outlineLevel="0" collapsed="false">
      <c r="A213" s="64"/>
      <c r="D213" s="72" t="n">
        <v>1</v>
      </c>
      <c r="E213" s="66" t="n">
        <v>0</v>
      </c>
      <c r="F213" s="66" t="n">
        <f aca="false">SUMIF(tbentrada[CODIGO],tbestoque[CODIGO],tbentrada[QUANTIDADE])</f>
        <v>0</v>
      </c>
      <c r="G213" s="66" t="n">
        <f aca="false">SUMIF(tbsaida[CODIGO],tbestoque[CODIGO],tbsaida[QUANTIDADE])</f>
        <v>0</v>
      </c>
      <c r="H213" s="66" t="n">
        <f aca="false">E213+F213-G213</f>
        <v>0</v>
      </c>
    </row>
    <row r="214" customFormat="false" ht="15" hidden="false" customHeight="false" outlineLevel="0" collapsed="false">
      <c r="A214" s="64"/>
      <c r="D214" s="72" t="n">
        <v>1</v>
      </c>
      <c r="E214" s="66" t="n">
        <v>0</v>
      </c>
      <c r="F214" s="66" t="n">
        <f aca="false">SUMIF(tbentrada[CODIGO],tbestoque[CODIGO],tbentrada[QUANTIDADE])</f>
        <v>0</v>
      </c>
      <c r="G214" s="66" t="n">
        <f aca="false">SUMIF(tbsaida[CODIGO],tbestoque[CODIGO],tbsaida[QUANTIDADE])</f>
        <v>0</v>
      </c>
      <c r="H214" s="66" t="n">
        <f aca="false">E214+F214-G214</f>
        <v>0</v>
      </c>
    </row>
    <row r="215" customFormat="false" ht="15" hidden="false" customHeight="false" outlineLevel="0" collapsed="false">
      <c r="A215" s="64"/>
      <c r="D215" s="72" t="n">
        <v>1</v>
      </c>
      <c r="E215" s="66" t="n">
        <v>0</v>
      </c>
      <c r="F215" s="66" t="n">
        <f aca="false">SUMIF(tbentrada[CODIGO],tbestoque[CODIGO],tbentrada[QUANTIDADE])</f>
        <v>0</v>
      </c>
      <c r="G215" s="66" t="n">
        <f aca="false">SUMIF(tbsaida[CODIGO],tbestoque[CODIGO],tbsaida[QUANTIDADE])</f>
        <v>0</v>
      </c>
      <c r="H215" s="66" t="n">
        <f aca="false">E215+F215-G215</f>
        <v>0</v>
      </c>
    </row>
    <row r="216" customFormat="false" ht="15" hidden="false" customHeight="false" outlineLevel="0" collapsed="false">
      <c r="A216" s="64"/>
      <c r="D216" s="72" t="n">
        <v>1</v>
      </c>
      <c r="E216" s="66" t="n">
        <v>0</v>
      </c>
      <c r="F216" s="66" t="n">
        <f aca="false">SUMIF(tbentrada[CODIGO],tbestoque[CODIGO],tbentrada[QUANTIDADE])</f>
        <v>0</v>
      </c>
      <c r="G216" s="66" t="n">
        <f aca="false">SUMIF(tbsaida[CODIGO],tbestoque[CODIGO],tbsaida[QUANTIDADE])</f>
        <v>0</v>
      </c>
      <c r="H216" s="66" t="n">
        <f aca="false">E216+F216-G216</f>
        <v>0</v>
      </c>
    </row>
    <row r="217" customFormat="false" ht="15" hidden="false" customHeight="false" outlineLevel="0" collapsed="false">
      <c r="A217" s="64"/>
      <c r="D217" s="72" t="n">
        <v>1</v>
      </c>
      <c r="E217" s="66" t="n">
        <v>0</v>
      </c>
      <c r="F217" s="66" t="n">
        <f aca="false">SUMIF(tbentrada[CODIGO],tbestoque[CODIGO],tbentrada[QUANTIDADE])</f>
        <v>0</v>
      </c>
      <c r="G217" s="66" t="n">
        <f aca="false">SUMIF(tbsaida[CODIGO],tbestoque[CODIGO],tbsaida[QUANTIDADE])</f>
        <v>0</v>
      </c>
      <c r="H217" s="66" t="n">
        <f aca="false">E217+F217-G217</f>
        <v>0</v>
      </c>
    </row>
    <row r="218" customFormat="false" ht="15" hidden="false" customHeight="false" outlineLevel="0" collapsed="false">
      <c r="A218" s="64"/>
      <c r="D218" s="72" t="n">
        <v>1</v>
      </c>
      <c r="E218" s="66" t="n">
        <v>0</v>
      </c>
      <c r="F218" s="66" t="n">
        <f aca="false">SUMIF(tbentrada[CODIGO],tbestoque[CODIGO],tbentrada[QUANTIDADE])</f>
        <v>0</v>
      </c>
      <c r="G218" s="66" t="n">
        <f aca="false">SUMIF(tbsaida[CODIGO],tbestoque[CODIGO],tbsaida[QUANTIDADE])</f>
        <v>0</v>
      </c>
      <c r="H218" s="66" t="n">
        <f aca="false">E218+F218-G218</f>
        <v>0</v>
      </c>
    </row>
    <row r="219" customFormat="false" ht="15" hidden="false" customHeight="false" outlineLevel="0" collapsed="false">
      <c r="A219" s="64"/>
      <c r="E219" s="66" t="n">
        <v>0</v>
      </c>
      <c r="F219" s="66" t="n">
        <f aca="false">SUMIF(tbentrada[CODIGO],tbestoque[CODIGO],tbentrada[QUANTIDADE])</f>
        <v>0</v>
      </c>
      <c r="G219" s="66" t="n">
        <f aca="false">SUMIF(tbsaida[CODIGO],tbestoque[CODIGO],tbsaida[QUANTIDADE])</f>
        <v>0</v>
      </c>
      <c r="H219" s="66" t="n">
        <f aca="false">E219+F219-G219</f>
        <v>0</v>
      </c>
    </row>
    <row r="220" customFormat="false" ht="15" hidden="false" customHeight="false" outlineLevel="0" collapsed="false">
      <c r="A220" s="64"/>
      <c r="E220" s="66" t="n">
        <v>0</v>
      </c>
      <c r="F220" s="66" t="n">
        <f aca="false">SUMIF(tbentrada[CODIGO],tbestoque[CODIGO],tbentrada[QUANTIDADE])</f>
        <v>0</v>
      </c>
      <c r="G220" s="66" t="n">
        <f aca="false">SUMIF(tbsaida[CODIGO],tbestoque[CODIGO],tbsaida[QUANTIDADE])</f>
        <v>0</v>
      </c>
      <c r="H220" s="66" t="n">
        <f aca="false">E220+F220-G220</f>
        <v>0</v>
      </c>
    </row>
    <row r="221" customFormat="false" ht="15" hidden="false" customHeight="false" outlineLevel="0" collapsed="false">
      <c r="A221" s="64"/>
      <c r="E221" s="66" t="n">
        <v>0</v>
      </c>
      <c r="F221" s="66" t="n">
        <f aca="false">SUMIF(tbentrada[CODIGO],tbestoque[CODIGO],tbentrada[QUANTIDADE])</f>
        <v>0</v>
      </c>
      <c r="G221" s="66" t="n">
        <f aca="false">SUMIF(tbsaida[CODIGO],tbestoque[CODIGO],tbsaida[QUANTIDADE])</f>
        <v>0</v>
      </c>
      <c r="H221" s="66" t="n">
        <f aca="false">E221+F221-G221</f>
        <v>0</v>
      </c>
    </row>
    <row r="222" customFormat="false" ht="15" hidden="false" customHeight="false" outlineLevel="0" collapsed="false">
      <c r="A222" s="64"/>
      <c r="E222" s="66" t="n">
        <v>0</v>
      </c>
      <c r="F222" s="66" t="n">
        <f aca="false">SUMIF(tbentrada[CODIGO],tbestoque[CODIGO],tbentrada[QUANTIDADE])</f>
        <v>0</v>
      </c>
      <c r="G222" s="66" t="n">
        <f aca="false">SUMIF(tbsaida[CODIGO],tbestoque[CODIGO],tbsaida[QUANTIDADE])</f>
        <v>0</v>
      </c>
      <c r="H222" s="66" t="n">
        <f aca="false">E222+F222-G222</f>
        <v>0</v>
      </c>
    </row>
    <row r="223" customFormat="false" ht="15" hidden="false" customHeight="false" outlineLevel="0" collapsed="false">
      <c r="A223" s="64"/>
      <c r="E223" s="66" t="n">
        <v>0</v>
      </c>
      <c r="F223" s="66" t="n">
        <f aca="false">SUMIF(tbentrada[CODIGO],tbestoque[CODIGO],tbentrada[QUANTIDADE])</f>
        <v>0</v>
      </c>
      <c r="G223" s="66" t="n">
        <f aca="false">SUMIF(tbsaida[CODIGO],tbestoque[CODIGO],tbsaida[QUANTIDADE])</f>
        <v>0</v>
      </c>
      <c r="H223" s="66" t="n">
        <f aca="false">E223+F223-G223</f>
        <v>0</v>
      </c>
    </row>
    <row r="224" customFormat="false" ht="15" hidden="false" customHeight="false" outlineLevel="0" collapsed="false">
      <c r="A224" s="64"/>
      <c r="E224" s="66" t="n">
        <v>0</v>
      </c>
      <c r="F224" s="66" t="n">
        <f aca="false">SUMIF(tbentrada[CODIGO],tbestoque[CODIGO],tbentrada[QUANTIDADE])</f>
        <v>0</v>
      </c>
      <c r="G224" s="66" t="n">
        <f aca="false">SUMIF(tbsaida[CODIGO],tbestoque[CODIGO],tbsaida[QUANTIDADE])</f>
        <v>0</v>
      </c>
      <c r="H224" s="66" t="n">
        <f aca="false">E224+F224-G224</f>
        <v>0</v>
      </c>
    </row>
    <row r="225" customFormat="false" ht="15" hidden="false" customHeight="false" outlineLevel="0" collapsed="false">
      <c r="A225" s="64"/>
      <c r="E225" s="66" t="n">
        <v>0</v>
      </c>
      <c r="F225" s="66" t="n">
        <f aca="false">SUMIF(tbentrada[CODIGO],tbestoque[CODIGO],tbentrada[QUANTIDADE])</f>
        <v>0</v>
      </c>
      <c r="G225" s="66" t="n">
        <f aca="false">SUMIF(tbsaida[CODIGO],tbestoque[CODIGO],tbsaida[QUANTIDADE])</f>
        <v>0</v>
      </c>
      <c r="H225" s="66" t="n">
        <f aca="false">E225+F225-G225</f>
        <v>0</v>
      </c>
    </row>
    <row r="226" customFormat="false" ht="15" hidden="false" customHeight="false" outlineLevel="0" collapsed="false">
      <c r="A226" s="64"/>
      <c r="E226" s="66" t="n">
        <v>0</v>
      </c>
      <c r="F226" s="66" t="n">
        <f aca="false">SUMIF(tbentrada[CODIGO],tbestoque[CODIGO],tbentrada[QUANTIDADE])</f>
        <v>0</v>
      </c>
      <c r="G226" s="66" t="n">
        <f aca="false">SUMIF(tbsaida[CODIGO],tbestoque[CODIGO],tbsaida[QUANTIDADE])</f>
        <v>0</v>
      </c>
      <c r="H226" s="66" t="n">
        <f aca="false">E226+F226-G226</f>
        <v>0</v>
      </c>
    </row>
    <row r="227" customFormat="false" ht="15" hidden="false" customHeight="false" outlineLevel="0" collapsed="false">
      <c r="A227" s="64"/>
      <c r="E227" s="66" t="n">
        <v>0</v>
      </c>
      <c r="F227" s="66" t="n">
        <f aca="false">SUMIF(tbentrada[CODIGO],tbestoque[CODIGO],tbentrada[QUANTIDADE])</f>
        <v>0</v>
      </c>
      <c r="G227" s="66" t="n">
        <f aca="false">SUMIF(tbsaida[CODIGO],tbestoque[CODIGO],tbsaida[QUANTIDADE])</f>
        <v>0</v>
      </c>
      <c r="H227" s="66" t="n">
        <f aca="false">E227+F227-G227</f>
        <v>0</v>
      </c>
    </row>
    <row r="228" customFormat="false" ht="15" hidden="false" customHeight="false" outlineLevel="0" collapsed="false">
      <c r="A228" s="64"/>
      <c r="F228" s="66" t="n">
        <f aca="false">SUMIF(tbentrada[CODIGO],tbestoque[CODIGO],tbentrada[QUANTIDADE])</f>
        <v>0</v>
      </c>
      <c r="G228" s="66" t="n">
        <f aca="false">SUMIF(tbsaida[CODIGO],tbestoque[CODIGO],tbsaida[QUANTIDADE])</f>
        <v>0</v>
      </c>
      <c r="H228" s="66" t="n">
        <f aca="false">E228+F228-G228</f>
        <v>0</v>
      </c>
    </row>
    <row r="229" customFormat="false" ht="15" hidden="false" customHeight="false" outlineLevel="0" collapsed="false">
      <c r="A229" s="64"/>
      <c r="F229" s="66" t="n">
        <f aca="false">SUMIF(tbentrada[CODIGO],tbestoque[CODIGO],tbentrada[QUANTIDADE])</f>
        <v>0</v>
      </c>
      <c r="G229" s="66" t="n">
        <f aca="false">SUMIF(tbsaida[CODIGO],tbestoque[CODIGO],tbsaida[QUANTIDADE])</f>
        <v>0</v>
      </c>
      <c r="H229" s="66" t="n">
        <f aca="false">E229+F229-G229</f>
        <v>0</v>
      </c>
    </row>
    <row r="230" customFormat="false" ht="15" hidden="false" customHeight="false" outlineLevel="0" collapsed="false">
      <c r="A230" s="64"/>
      <c r="F230" s="66" t="n">
        <f aca="false">SUMIF(tbentrada[CODIGO],tbestoque[CODIGO],tbentrada[QUANTIDADE])</f>
        <v>0</v>
      </c>
      <c r="G230" s="66" t="n">
        <f aca="false">SUMIF(tbsaida[CODIGO],tbestoque[CODIGO],tbsaida[QUANTIDADE])</f>
        <v>0</v>
      </c>
      <c r="H230" s="66" t="n">
        <f aca="false">E230+F230-G230</f>
        <v>0</v>
      </c>
    </row>
    <row r="231" customFormat="false" ht="15" hidden="false" customHeight="false" outlineLevel="0" collapsed="false">
      <c r="A231" s="64"/>
      <c r="F231" s="66" t="n">
        <f aca="false">SUMIF(tbentrada[CODIGO],tbestoque[CODIGO],tbentrada[QUANTIDADE])</f>
        <v>0</v>
      </c>
      <c r="G231" s="66" t="n">
        <f aca="false">SUMIF(tbsaida[CODIGO],tbestoque[CODIGO],tbsaida[QUANTIDADE])</f>
        <v>0</v>
      </c>
      <c r="H231" s="66" t="n">
        <f aca="false">E231+F231-G231</f>
        <v>0</v>
      </c>
    </row>
    <row r="232" customFormat="false" ht="15" hidden="false" customHeight="false" outlineLevel="0" collapsed="false">
      <c r="A232" s="64"/>
      <c r="F232" s="66" t="n">
        <f aca="false">SUMIF(tbentrada[CODIGO],tbestoque[CODIGO],tbentrada[QUANTIDADE])</f>
        <v>0</v>
      </c>
      <c r="G232" s="66" t="n">
        <f aca="false">SUMIF(tbsaida[CODIGO],tbestoque[CODIGO],tbsaida[QUANTIDADE])</f>
        <v>0</v>
      </c>
      <c r="H232" s="66" t="n">
        <f aca="false">E232+F232-G232</f>
        <v>0</v>
      </c>
    </row>
    <row r="233" customFormat="false" ht="15" hidden="false" customHeight="false" outlineLevel="0" collapsed="false">
      <c r="A233" s="64"/>
      <c r="F233" s="66" t="n">
        <f aca="false">SUMIF(tbentrada[CODIGO],tbestoque[CODIGO],tbentrada[QUANTIDADE])</f>
        <v>0</v>
      </c>
      <c r="G233" s="66" t="n">
        <f aca="false">SUMIF(tbsaida[CODIGO],tbestoque[CODIGO],tbsaida[QUANTIDADE])</f>
        <v>0</v>
      </c>
      <c r="H233" s="66" t="n">
        <f aca="false">E233+F233-G233</f>
        <v>0</v>
      </c>
    </row>
    <row r="234" customFormat="false" ht="15" hidden="false" customHeight="false" outlineLevel="0" collapsed="false">
      <c r="A234" s="64"/>
      <c r="F234" s="66" t="n">
        <f aca="false">SUMIF(tbentrada[CODIGO],tbestoque[CODIGO],tbentrada[QUANTIDADE])</f>
        <v>0</v>
      </c>
      <c r="G234" s="66" t="n">
        <f aca="false">SUMIF(tbsaida[CODIGO],tbestoque[CODIGO],tbsaida[QUANTIDADE])</f>
        <v>0</v>
      </c>
      <c r="H234" s="66" t="n">
        <f aca="false">E234+F234-G234</f>
        <v>0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161"/>
  <sheetViews>
    <sheetView showFormulas="false" showGridLines="true" showRowColHeaders="true" showZeros="true" rightToLeft="false" tabSelected="false" showOutlineSymbols="true" defaultGridColor="true" view="normal" topLeftCell="A49" colorId="64" zoomScale="100" zoomScaleNormal="100" zoomScalePageLayoutView="100" workbookViewId="0">
      <selection pane="topLeft" activeCell="H7" activeCellId="1" sqref="E:E H7"/>
    </sheetView>
  </sheetViews>
  <sheetFormatPr defaultRowHeight="15" zeroHeight="false" outlineLevelRow="0" outlineLevelCol="0"/>
  <cols>
    <col collapsed="false" customWidth="true" hidden="false" outlineLevel="0" max="1" min="1" style="0" width="8.49"/>
    <col collapsed="false" customWidth="true" hidden="false" outlineLevel="0" max="2" min="2" style="0" width="49.71"/>
    <col collapsed="false" customWidth="true" hidden="false" outlineLevel="0" max="3" min="3" style="0" width="17.71"/>
    <col collapsed="false" customWidth="true" hidden="false" outlineLevel="0" max="1025" min="4" style="0" width="8.49"/>
  </cols>
  <sheetData>
    <row r="1" customFormat="false" ht="15" hidden="false" customHeight="false" outlineLevel="0" collapsed="false">
      <c r="A1" s="0" t="s">
        <v>174</v>
      </c>
      <c r="B1" s="0" t="s">
        <v>175</v>
      </c>
      <c r="C1" s="0" t="s">
        <v>176</v>
      </c>
      <c r="D1" s="0" t="s">
        <v>177</v>
      </c>
    </row>
    <row r="2" customFormat="false" ht="18.75" hidden="false" customHeight="false" outlineLevel="0" collapsed="false">
      <c r="A2" s="75" t="n">
        <v>1</v>
      </c>
      <c r="B2" s="76" t="s">
        <v>22</v>
      </c>
      <c r="C2" s="77"/>
      <c r="D2" s="77"/>
    </row>
    <row r="3" customFormat="false" ht="18.75" hidden="false" customHeight="false" outlineLevel="0" collapsed="false">
      <c r="A3" s="78" t="n">
        <v>2</v>
      </c>
      <c r="B3" s="79" t="s">
        <v>24</v>
      </c>
      <c r="C3" s="77"/>
      <c r="D3" s="77"/>
    </row>
    <row r="4" customFormat="false" ht="18.75" hidden="false" customHeight="false" outlineLevel="0" collapsed="false">
      <c r="A4" s="75" t="n">
        <v>3</v>
      </c>
      <c r="B4" s="80" t="s">
        <v>25</v>
      </c>
      <c r="C4" s="77"/>
      <c r="D4" s="77"/>
    </row>
    <row r="5" customFormat="false" ht="18.75" hidden="false" customHeight="false" outlineLevel="0" collapsed="false">
      <c r="A5" s="78" t="n">
        <v>4</v>
      </c>
      <c r="B5" s="79" t="s">
        <v>26</v>
      </c>
      <c r="C5" s="77"/>
      <c r="D5" s="77"/>
    </row>
    <row r="6" customFormat="false" ht="18.75" hidden="false" customHeight="false" outlineLevel="0" collapsed="false">
      <c r="A6" s="75" t="n">
        <v>5</v>
      </c>
      <c r="B6" s="80" t="s">
        <v>27</v>
      </c>
      <c r="C6" s="77"/>
      <c r="D6" s="77"/>
    </row>
    <row r="7" customFormat="false" ht="18.75" hidden="false" customHeight="false" outlineLevel="0" collapsed="false">
      <c r="A7" s="78" t="n">
        <v>6</v>
      </c>
      <c r="B7" s="79" t="s">
        <v>28</v>
      </c>
      <c r="C7" s="77"/>
      <c r="D7" s="77"/>
    </row>
    <row r="8" customFormat="false" ht="18.75" hidden="false" customHeight="false" outlineLevel="0" collapsed="false">
      <c r="A8" s="75" t="n">
        <v>7</v>
      </c>
      <c r="B8" s="80" t="s">
        <v>29</v>
      </c>
      <c r="C8" s="77"/>
      <c r="D8" s="77"/>
    </row>
    <row r="9" customFormat="false" ht="18.75" hidden="false" customHeight="false" outlineLevel="0" collapsed="false">
      <c r="A9" s="78" t="n">
        <v>8</v>
      </c>
      <c r="B9" s="79" t="s">
        <v>30</v>
      </c>
      <c r="C9" s="77"/>
      <c r="D9" s="77"/>
    </row>
    <row r="10" customFormat="false" ht="18.75" hidden="false" customHeight="false" outlineLevel="0" collapsed="false">
      <c r="A10" s="75" t="n">
        <v>9</v>
      </c>
      <c r="B10" s="76" t="s">
        <v>31</v>
      </c>
      <c r="C10" s="77"/>
      <c r="D10" s="77"/>
    </row>
    <row r="11" customFormat="false" ht="18.75" hidden="false" customHeight="false" outlineLevel="0" collapsed="false">
      <c r="A11" s="78" t="n">
        <v>10</v>
      </c>
      <c r="B11" s="79" t="s">
        <v>32</v>
      </c>
      <c r="C11" s="77"/>
      <c r="D11" s="77"/>
    </row>
    <row r="12" customFormat="false" ht="18.75" hidden="false" customHeight="false" outlineLevel="0" collapsed="false">
      <c r="A12" s="75" t="n">
        <v>11</v>
      </c>
      <c r="B12" s="76" t="s">
        <v>33</v>
      </c>
      <c r="C12" s="77"/>
      <c r="D12" s="77"/>
    </row>
    <row r="13" customFormat="false" ht="18.75" hidden="false" customHeight="false" outlineLevel="0" collapsed="false">
      <c r="A13" s="78" t="n">
        <v>12</v>
      </c>
      <c r="B13" s="79" t="s">
        <v>34</v>
      </c>
      <c r="C13" s="77"/>
      <c r="D13" s="77"/>
    </row>
    <row r="14" customFormat="false" ht="18.75" hidden="false" customHeight="false" outlineLevel="0" collapsed="false">
      <c r="A14" s="75" t="n">
        <v>13</v>
      </c>
      <c r="B14" s="80" t="s">
        <v>35</v>
      </c>
      <c r="C14" s="77"/>
      <c r="D14" s="77"/>
    </row>
    <row r="15" customFormat="false" ht="18.75" hidden="false" customHeight="false" outlineLevel="0" collapsed="false">
      <c r="A15" s="78" t="n">
        <v>14</v>
      </c>
      <c r="B15" s="79" t="s">
        <v>36</v>
      </c>
      <c r="C15" s="77"/>
      <c r="D15" s="77"/>
    </row>
    <row r="16" customFormat="false" ht="18.75" hidden="false" customHeight="false" outlineLevel="0" collapsed="false">
      <c r="A16" s="75" t="n">
        <v>15</v>
      </c>
      <c r="B16" s="80" t="s">
        <v>37</v>
      </c>
      <c r="C16" s="77"/>
      <c r="D16" s="77"/>
    </row>
    <row r="17" customFormat="false" ht="18.75" hidden="false" customHeight="false" outlineLevel="0" collapsed="false">
      <c r="A17" s="78" t="n">
        <v>16</v>
      </c>
      <c r="B17" s="79" t="s">
        <v>38</v>
      </c>
      <c r="C17" s="77"/>
      <c r="D17" s="77"/>
    </row>
    <row r="18" customFormat="false" ht="18.75" hidden="false" customHeight="false" outlineLevel="0" collapsed="false">
      <c r="A18" s="75" t="n">
        <v>17</v>
      </c>
      <c r="B18" s="80" t="s">
        <v>39</v>
      </c>
      <c r="C18" s="77"/>
      <c r="D18" s="77"/>
    </row>
    <row r="19" customFormat="false" ht="18.75" hidden="false" customHeight="false" outlineLevel="0" collapsed="false">
      <c r="A19" s="78" t="n">
        <f aca="false">A18+1</f>
        <v>18</v>
      </c>
      <c r="B19" s="79" t="s">
        <v>40</v>
      </c>
      <c r="C19" s="77"/>
      <c r="D19" s="77"/>
    </row>
    <row r="20" customFormat="false" ht="18.75" hidden="false" customHeight="false" outlineLevel="0" collapsed="false">
      <c r="A20" s="75" t="n">
        <f aca="false">A19+1</f>
        <v>19</v>
      </c>
      <c r="B20" s="80" t="s">
        <v>41</v>
      </c>
      <c r="C20" s="77"/>
      <c r="D20" s="77"/>
    </row>
    <row r="21" customFormat="false" ht="18.75" hidden="false" customHeight="false" outlineLevel="0" collapsed="false">
      <c r="A21" s="78" t="n">
        <f aca="false">A20+1</f>
        <v>20</v>
      </c>
      <c r="B21" s="79" t="s">
        <v>42</v>
      </c>
      <c r="C21" s="77"/>
      <c r="D21" s="77"/>
    </row>
    <row r="22" customFormat="false" ht="18.75" hidden="false" customHeight="false" outlineLevel="0" collapsed="false">
      <c r="A22" s="75" t="n">
        <f aca="false">A21+1</f>
        <v>21</v>
      </c>
      <c r="B22" s="80" t="s">
        <v>43</v>
      </c>
      <c r="C22" s="77"/>
      <c r="D22" s="77"/>
    </row>
    <row r="23" customFormat="false" ht="18.75" hidden="false" customHeight="false" outlineLevel="0" collapsed="false">
      <c r="A23" s="78" t="n">
        <f aca="false">A22+1</f>
        <v>22</v>
      </c>
      <c r="B23" s="81" t="s">
        <v>44</v>
      </c>
      <c r="C23" s="77"/>
      <c r="D23" s="77"/>
    </row>
    <row r="24" customFormat="false" ht="18.75" hidden="false" customHeight="false" outlineLevel="0" collapsed="false">
      <c r="A24" s="75" t="n">
        <f aca="false">A23+1</f>
        <v>23</v>
      </c>
      <c r="B24" s="80" t="s">
        <v>45</v>
      </c>
      <c r="C24" s="77"/>
      <c r="D24" s="77"/>
    </row>
    <row r="25" customFormat="false" ht="18.75" hidden="false" customHeight="false" outlineLevel="0" collapsed="false">
      <c r="A25" s="78" t="n">
        <f aca="false">A24+1</f>
        <v>24</v>
      </c>
      <c r="B25" s="79" t="s">
        <v>46</v>
      </c>
      <c r="C25" s="77"/>
      <c r="D25" s="77"/>
    </row>
    <row r="26" customFormat="false" ht="18.75" hidden="false" customHeight="false" outlineLevel="0" collapsed="false">
      <c r="A26" s="75" t="n">
        <f aca="false">A25+1</f>
        <v>25</v>
      </c>
      <c r="B26" s="80" t="s">
        <v>47</v>
      </c>
      <c r="C26" s="77"/>
      <c r="D26" s="77"/>
    </row>
    <row r="27" customFormat="false" ht="18.75" hidden="false" customHeight="false" outlineLevel="0" collapsed="false">
      <c r="A27" s="78" t="n">
        <f aca="false">A26+1</f>
        <v>26</v>
      </c>
      <c r="B27" s="79" t="s">
        <v>48</v>
      </c>
      <c r="C27" s="77"/>
      <c r="D27" s="77"/>
    </row>
    <row r="28" customFormat="false" ht="18.75" hidden="false" customHeight="false" outlineLevel="0" collapsed="false">
      <c r="A28" s="75" t="n">
        <f aca="false">A27+1</f>
        <v>27</v>
      </c>
      <c r="B28" s="80" t="s">
        <v>49</v>
      </c>
      <c r="C28" s="77"/>
      <c r="D28" s="77"/>
    </row>
    <row r="29" customFormat="false" ht="18.75" hidden="false" customHeight="false" outlineLevel="0" collapsed="false">
      <c r="A29" s="78" t="n">
        <f aca="false">A28+1</f>
        <v>28</v>
      </c>
      <c r="B29" s="82" t="s">
        <v>50</v>
      </c>
      <c r="C29" s="77"/>
      <c r="D29" s="77"/>
    </row>
    <row r="30" customFormat="false" ht="18.75" hidden="false" customHeight="false" outlineLevel="0" collapsed="false">
      <c r="A30" s="75" t="n">
        <f aca="false">A29+1</f>
        <v>29</v>
      </c>
      <c r="B30" s="83" t="s">
        <v>51</v>
      </c>
      <c r="C30" s="77"/>
      <c r="D30" s="77"/>
    </row>
    <row r="31" customFormat="false" ht="18.75" hidden="false" customHeight="false" outlineLevel="0" collapsed="false">
      <c r="A31" s="78" t="n">
        <f aca="false">A30+1</f>
        <v>30</v>
      </c>
      <c r="B31" s="82" t="s">
        <v>52</v>
      </c>
      <c r="C31" s="77"/>
      <c r="D31" s="77"/>
    </row>
    <row r="32" customFormat="false" ht="18.75" hidden="false" customHeight="false" outlineLevel="0" collapsed="false">
      <c r="A32" s="75" t="n">
        <f aca="false">A31+1</f>
        <v>31</v>
      </c>
      <c r="B32" s="83" t="s">
        <v>53</v>
      </c>
      <c r="C32" s="77"/>
      <c r="D32" s="77"/>
    </row>
    <row r="33" customFormat="false" ht="18.75" hidden="false" customHeight="false" outlineLevel="0" collapsed="false">
      <c r="A33" s="78" t="n">
        <f aca="false">A32+1</f>
        <v>32</v>
      </c>
      <c r="B33" s="82" t="s">
        <v>54</v>
      </c>
      <c r="C33" s="77"/>
      <c r="D33" s="77"/>
    </row>
    <row r="34" customFormat="false" ht="18.75" hidden="false" customHeight="false" outlineLevel="0" collapsed="false">
      <c r="A34" s="75" t="n">
        <f aca="false">A33+1</f>
        <v>33</v>
      </c>
      <c r="B34" s="83" t="s">
        <v>55</v>
      </c>
      <c r="C34" s="77"/>
      <c r="D34" s="77"/>
    </row>
    <row r="35" customFormat="false" ht="18.75" hidden="false" customHeight="false" outlineLevel="0" collapsed="false">
      <c r="A35" s="78" t="n">
        <f aca="false">A34+1</f>
        <v>34</v>
      </c>
      <c r="B35" s="81" t="s">
        <v>56</v>
      </c>
      <c r="C35" s="77"/>
      <c r="D35" s="77"/>
    </row>
    <row r="36" customFormat="false" ht="18.75" hidden="false" customHeight="false" outlineLevel="0" collapsed="false">
      <c r="A36" s="75" t="n">
        <f aca="false">A35+1</f>
        <v>35</v>
      </c>
      <c r="B36" s="80" t="s">
        <v>57</v>
      </c>
      <c r="C36" s="77"/>
      <c r="D36" s="77"/>
    </row>
    <row r="37" customFormat="false" ht="18.75" hidden="false" customHeight="false" outlineLevel="0" collapsed="false">
      <c r="A37" s="78" t="n">
        <f aca="false">A36+1</f>
        <v>36</v>
      </c>
      <c r="B37" s="79" t="s">
        <v>58</v>
      </c>
      <c r="C37" s="77"/>
      <c r="D37" s="77"/>
    </row>
    <row r="38" customFormat="false" ht="18.75" hidden="false" customHeight="false" outlineLevel="0" collapsed="false">
      <c r="A38" s="75" t="n">
        <f aca="false">A37+1</f>
        <v>37</v>
      </c>
      <c r="B38" s="76" t="s">
        <v>59</v>
      </c>
      <c r="C38" s="77"/>
      <c r="D38" s="77"/>
    </row>
    <row r="39" customFormat="false" ht="18.75" hidden="false" customHeight="false" outlineLevel="0" collapsed="false">
      <c r="A39" s="78" t="n">
        <f aca="false">A38+1</f>
        <v>38</v>
      </c>
      <c r="B39" s="79" t="s">
        <v>60</v>
      </c>
      <c r="C39" s="77"/>
      <c r="D39" s="77"/>
    </row>
    <row r="40" customFormat="false" ht="18.75" hidden="false" customHeight="false" outlineLevel="0" collapsed="false">
      <c r="A40" s="75" t="n">
        <f aca="false">A39+1</f>
        <v>39</v>
      </c>
      <c r="B40" s="80" t="s">
        <v>61</v>
      </c>
      <c r="C40" s="77"/>
      <c r="D40" s="77"/>
    </row>
    <row r="41" customFormat="false" ht="18.75" hidden="false" customHeight="false" outlineLevel="0" collapsed="false">
      <c r="A41" s="78" t="n">
        <f aca="false">A40+1</f>
        <v>40</v>
      </c>
      <c r="B41" s="79" t="s">
        <v>62</v>
      </c>
      <c r="C41" s="77"/>
      <c r="D41" s="77"/>
    </row>
    <row r="42" customFormat="false" ht="18.75" hidden="false" customHeight="false" outlineLevel="0" collapsed="false">
      <c r="A42" s="75" t="n">
        <f aca="false">A41+1</f>
        <v>41</v>
      </c>
      <c r="B42" s="80" t="s">
        <v>63</v>
      </c>
      <c r="C42" s="77"/>
      <c r="D42" s="77"/>
    </row>
    <row r="43" customFormat="false" ht="18.75" hidden="false" customHeight="false" outlineLevel="0" collapsed="false">
      <c r="A43" s="78" t="n">
        <f aca="false">A42+1</f>
        <v>42</v>
      </c>
      <c r="B43" s="81" t="s">
        <v>64</v>
      </c>
      <c r="C43" s="77"/>
      <c r="D43" s="77"/>
    </row>
    <row r="44" customFormat="false" ht="18.75" hidden="false" customHeight="false" outlineLevel="0" collapsed="false">
      <c r="A44" s="75" t="n">
        <f aca="false">A43+1</f>
        <v>43</v>
      </c>
      <c r="B44" s="80" t="s">
        <v>65</v>
      </c>
      <c r="C44" s="77"/>
      <c r="D44" s="77"/>
    </row>
    <row r="45" customFormat="false" ht="18.75" hidden="false" customHeight="false" outlineLevel="0" collapsed="false">
      <c r="A45" s="78" t="n">
        <f aca="false">A44+1</f>
        <v>44</v>
      </c>
      <c r="B45" s="79" t="s">
        <v>66</v>
      </c>
      <c r="C45" s="77"/>
      <c r="D45" s="77"/>
    </row>
    <row r="46" customFormat="false" ht="18.75" hidden="false" customHeight="false" outlineLevel="0" collapsed="false">
      <c r="A46" s="75" t="n">
        <f aca="false">A45+1</f>
        <v>45</v>
      </c>
      <c r="B46" s="80" t="s">
        <v>67</v>
      </c>
      <c r="C46" s="77"/>
      <c r="D46" s="77"/>
    </row>
    <row r="47" customFormat="false" ht="18.75" hidden="false" customHeight="false" outlineLevel="0" collapsed="false">
      <c r="A47" s="78" t="n">
        <f aca="false">A46+1</f>
        <v>46</v>
      </c>
      <c r="B47" s="79" t="s">
        <v>68</v>
      </c>
      <c r="C47" s="77"/>
      <c r="D47" s="77"/>
    </row>
    <row r="48" customFormat="false" ht="18.75" hidden="false" customHeight="false" outlineLevel="0" collapsed="false">
      <c r="A48" s="75" t="n">
        <f aca="false">A47+1</f>
        <v>47</v>
      </c>
      <c r="B48" s="80" t="s">
        <v>69</v>
      </c>
      <c r="C48" s="77"/>
      <c r="D48" s="77"/>
    </row>
    <row r="49" customFormat="false" ht="18.75" hidden="false" customHeight="false" outlineLevel="0" collapsed="false">
      <c r="A49" s="78" t="n">
        <f aca="false">A48+1</f>
        <v>48</v>
      </c>
      <c r="B49" s="79" t="s">
        <v>70</v>
      </c>
      <c r="C49" s="77"/>
      <c r="D49" s="77"/>
    </row>
    <row r="50" customFormat="false" ht="18.75" hidden="false" customHeight="false" outlineLevel="0" collapsed="false">
      <c r="A50" s="75" t="n">
        <f aca="false">A49+1</f>
        <v>49</v>
      </c>
      <c r="B50" s="80" t="s">
        <v>71</v>
      </c>
      <c r="C50" s="77"/>
      <c r="D50" s="77"/>
    </row>
    <row r="51" customFormat="false" ht="18.75" hidden="false" customHeight="false" outlineLevel="0" collapsed="false">
      <c r="A51" s="78" t="n">
        <f aca="false">A50+1</f>
        <v>50</v>
      </c>
      <c r="B51" s="79" t="s">
        <v>72</v>
      </c>
      <c r="C51" s="77"/>
      <c r="D51" s="77"/>
    </row>
    <row r="52" customFormat="false" ht="18.75" hidden="false" customHeight="false" outlineLevel="0" collapsed="false">
      <c r="A52" s="75" t="n">
        <f aca="false">A51+1</f>
        <v>51</v>
      </c>
      <c r="B52" s="80" t="s">
        <v>73</v>
      </c>
      <c r="C52" s="77"/>
      <c r="D52" s="77"/>
    </row>
    <row r="53" customFormat="false" ht="18.75" hidden="false" customHeight="false" outlineLevel="0" collapsed="false">
      <c r="A53" s="78" t="n">
        <f aca="false">A52+1</f>
        <v>52</v>
      </c>
      <c r="B53" s="79" t="s">
        <v>74</v>
      </c>
      <c r="C53" s="77"/>
      <c r="D53" s="77"/>
    </row>
    <row r="54" customFormat="false" ht="18.75" hidden="false" customHeight="false" outlineLevel="0" collapsed="false">
      <c r="A54" s="75" t="n">
        <f aca="false">A53+1</f>
        <v>53</v>
      </c>
      <c r="B54" s="80" t="s">
        <v>75</v>
      </c>
      <c r="C54" s="77"/>
      <c r="D54" s="77"/>
    </row>
    <row r="55" customFormat="false" ht="18.75" hidden="false" customHeight="false" outlineLevel="0" collapsed="false">
      <c r="A55" s="78" t="n">
        <f aca="false">A54+1</f>
        <v>54</v>
      </c>
      <c r="B55" s="79" t="s">
        <v>76</v>
      </c>
      <c r="C55" s="77"/>
      <c r="D55" s="77"/>
    </row>
    <row r="56" customFormat="false" ht="18.75" hidden="false" customHeight="false" outlineLevel="0" collapsed="false">
      <c r="A56" s="75" t="n">
        <f aca="false">A55+1</f>
        <v>55</v>
      </c>
      <c r="B56" s="80" t="s">
        <v>77</v>
      </c>
      <c r="C56" s="77"/>
      <c r="D56" s="77"/>
    </row>
    <row r="57" customFormat="false" ht="18.75" hidden="false" customHeight="false" outlineLevel="0" collapsed="false">
      <c r="A57" s="78" t="n">
        <f aca="false">A56+1</f>
        <v>56</v>
      </c>
      <c r="B57" s="79" t="s">
        <v>78</v>
      </c>
      <c r="C57" s="77"/>
      <c r="D57" s="77"/>
    </row>
    <row r="58" customFormat="false" ht="18.75" hidden="false" customHeight="false" outlineLevel="0" collapsed="false">
      <c r="A58" s="75" t="n">
        <f aca="false">A57+1</f>
        <v>57</v>
      </c>
      <c r="B58" s="80" t="s">
        <v>79</v>
      </c>
      <c r="C58" s="77"/>
      <c r="D58" s="77"/>
    </row>
    <row r="59" customFormat="false" ht="18.75" hidden="false" customHeight="false" outlineLevel="0" collapsed="false">
      <c r="A59" s="78" t="n">
        <f aca="false">A58+1</f>
        <v>58</v>
      </c>
      <c r="B59" s="79" t="s">
        <v>80</v>
      </c>
      <c r="C59" s="77"/>
      <c r="D59" s="77"/>
    </row>
    <row r="60" customFormat="false" ht="18.75" hidden="false" customHeight="false" outlineLevel="0" collapsed="false">
      <c r="A60" s="75" t="n">
        <f aca="false">A59+1</f>
        <v>59</v>
      </c>
      <c r="B60" s="80" t="s">
        <v>81</v>
      </c>
      <c r="C60" s="77"/>
      <c r="D60" s="77"/>
    </row>
    <row r="61" customFormat="false" ht="18.75" hidden="false" customHeight="false" outlineLevel="0" collapsed="false">
      <c r="A61" s="78" t="n">
        <f aca="false">A60+1</f>
        <v>60</v>
      </c>
      <c r="B61" s="79" t="s">
        <v>82</v>
      </c>
      <c r="C61" s="77"/>
      <c r="D61" s="77"/>
    </row>
    <row r="62" customFormat="false" ht="18.75" hidden="false" customHeight="false" outlineLevel="0" collapsed="false">
      <c r="A62" s="75" t="n">
        <f aca="false">A61+1</f>
        <v>61</v>
      </c>
      <c r="B62" s="80" t="s">
        <v>83</v>
      </c>
      <c r="C62" s="77"/>
      <c r="D62" s="77"/>
    </row>
    <row r="63" customFormat="false" ht="18.75" hidden="false" customHeight="false" outlineLevel="0" collapsed="false">
      <c r="A63" s="78" t="n">
        <f aca="false">A62+1</f>
        <v>62</v>
      </c>
      <c r="B63" s="79" t="s">
        <v>84</v>
      </c>
      <c r="C63" s="77"/>
      <c r="D63" s="77"/>
    </row>
    <row r="64" customFormat="false" ht="18.75" hidden="false" customHeight="false" outlineLevel="0" collapsed="false">
      <c r="A64" s="75" t="n">
        <f aca="false">A63+1</f>
        <v>63</v>
      </c>
      <c r="B64" s="76" t="s">
        <v>85</v>
      </c>
      <c r="C64" s="77"/>
      <c r="D64" s="77"/>
    </row>
    <row r="65" customFormat="false" ht="18.75" hidden="false" customHeight="false" outlineLevel="0" collapsed="false">
      <c r="A65" s="78" t="n">
        <f aca="false">A64+1</f>
        <v>64</v>
      </c>
      <c r="B65" s="79" t="s">
        <v>86</v>
      </c>
      <c r="C65" s="77"/>
      <c r="D65" s="77"/>
    </row>
    <row r="66" customFormat="false" ht="18.75" hidden="false" customHeight="false" outlineLevel="0" collapsed="false">
      <c r="A66" s="75" t="n">
        <f aca="false">A65+1</f>
        <v>65</v>
      </c>
      <c r="B66" s="80" t="s">
        <v>87</v>
      </c>
      <c r="C66" s="77"/>
      <c r="D66" s="77"/>
    </row>
    <row r="67" customFormat="false" ht="18.75" hidden="false" customHeight="false" outlineLevel="0" collapsed="false">
      <c r="A67" s="78" t="n">
        <f aca="false">A66+1</f>
        <v>66</v>
      </c>
      <c r="B67" s="82" t="s">
        <v>88</v>
      </c>
      <c r="C67" s="77"/>
      <c r="D67" s="77"/>
    </row>
    <row r="68" customFormat="false" ht="18.75" hidden="false" customHeight="false" outlineLevel="0" collapsed="false">
      <c r="A68" s="75" t="n">
        <f aca="false">A67+1</f>
        <v>67</v>
      </c>
      <c r="B68" s="80" t="s">
        <v>89</v>
      </c>
      <c r="C68" s="77"/>
      <c r="D68" s="77"/>
    </row>
    <row r="69" customFormat="false" ht="18.75" hidden="false" customHeight="false" outlineLevel="0" collapsed="false">
      <c r="A69" s="78" t="n">
        <f aca="false">A68+1</f>
        <v>68</v>
      </c>
      <c r="B69" s="81" t="s">
        <v>90</v>
      </c>
      <c r="C69" s="77"/>
      <c r="D69" s="77"/>
    </row>
    <row r="70" customFormat="false" ht="18.75" hidden="false" customHeight="false" outlineLevel="0" collapsed="false">
      <c r="A70" s="75" t="n">
        <f aca="false">A69+1</f>
        <v>69</v>
      </c>
      <c r="B70" s="80" t="s">
        <v>91</v>
      </c>
      <c r="C70" s="77"/>
      <c r="D70" s="77"/>
    </row>
    <row r="71" customFormat="false" ht="18.75" hidden="false" customHeight="false" outlineLevel="0" collapsed="false">
      <c r="A71" s="78" t="n">
        <f aca="false">A70+1</f>
        <v>70</v>
      </c>
      <c r="B71" s="79" t="s">
        <v>92</v>
      </c>
      <c r="C71" s="77"/>
      <c r="D71" s="77"/>
    </row>
    <row r="72" customFormat="false" ht="18.75" hidden="false" customHeight="false" outlineLevel="0" collapsed="false">
      <c r="A72" s="75" t="n">
        <f aca="false">A71+1</f>
        <v>71</v>
      </c>
      <c r="B72" s="80" t="s">
        <v>93</v>
      </c>
      <c r="C72" s="77"/>
      <c r="D72" s="77"/>
    </row>
    <row r="73" customFormat="false" ht="18.75" hidden="false" customHeight="false" outlineLevel="0" collapsed="false">
      <c r="A73" s="78" t="n">
        <f aca="false">A72+1</f>
        <v>72</v>
      </c>
      <c r="B73" s="82" t="s">
        <v>94</v>
      </c>
      <c r="C73" s="77"/>
      <c r="D73" s="77"/>
    </row>
    <row r="74" customFormat="false" ht="18.75" hidden="false" customHeight="false" outlineLevel="0" collapsed="false">
      <c r="A74" s="75" t="n">
        <f aca="false">A73+1</f>
        <v>73</v>
      </c>
      <c r="B74" s="76" t="s">
        <v>95</v>
      </c>
      <c r="C74" s="77"/>
      <c r="D74" s="77"/>
    </row>
    <row r="75" customFormat="false" ht="18.75" hidden="false" customHeight="false" outlineLevel="0" collapsed="false">
      <c r="A75" s="78" t="n">
        <f aca="false">A74+1</f>
        <v>74</v>
      </c>
      <c r="B75" s="79" t="s">
        <v>96</v>
      </c>
      <c r="C75" s="77"/>
      <c r="D75" s="77"/>
    </row>
    <row r="76" customFormat="false" ht="18.75" hidden="false" customHeight="false" outlineLevel="0" collapsed="false">
      <c r="A76" s="75" t="n">
        <f aca="false">A75+1</f>
        <v>75</v>
      </c>
      <c r="B76" s="80" t="s">
        <v>97</v>
      </c>
      <c r="C76" s="77"/>
      <c r="D76" s="77"/>
    </row>
    <row r="77" customFormat="false" ht="18.75" hidden="false" customHeight="false" outlineLevel="0" collapsed="false">
      <c r="A77" s="78" t="n">
        <f aca="false">A76+1</f>
        <v>76</v>
      </c>
      <c r="B77" s="79" t="s">
        <v>98</v>
      </c>
      <c r="C77" s="77"/>
      <c r="D77" s="77"/>
    </row>
    <row r="78" customFormat="false" ht="18.75" hidden="false" customHeight="false" outlineLevel="0" collapsed="false">
      <c r="A78" s="75" t="n">
        <f aca="false">A77+1</f>
        <v>77</v>
      </c>
      <c r="B78" s="80" t="s">
        <v>99</v>
      </c>
      <c r="C78" s="77"/>
      <c r="D78" s="77"/>
    </row>
    <row r="79" customFormat="false" ht="18.75" hidden="false" customHeight="false" outlineLevel="0" collapsed="false">
      <c r="A79" s="78" t="n">
        <f aca="false">A78+1</f>
        <v>78</v>
      </c>
      <c r="B79" s="79" t="s">
        <v>100</v>
      </c>
      <c r="C79" s="77"/>
      <c r="D79" s="77"/>
    </row>
    <row r="80" customFormat="false" ht="18.75" hidden="false" customHeight="false" outlineLevel="0" collapsed="false">
      <c r="A80" s="75" t="n">
        <f aca="false">A79+1</f>
        <v>79</v>
      </c>
      <c r="B80" s="80" t="s">
        <v>101</v>
      </c>
      <c r="C80" s="77"/>
      <c r="D80" s="77"/>
    </row>
    <row r="81" customFormat="false" ht="18.75" hidden="false" customHeight="false" outlineLevel="0" collapsed="false">
      <c r="A81" s="78" t="n">
        <f aca="false">A80+1</f>
        <v>80</v>
      </c>
      <c r="B81" s="81" t="s">
        <v>102</v>
      </c>
      <c r="C81" s="77"/>
      <c r="D81" s="77"/>
    </row>
    <row r="82" customFormat="false" ht="18.75" hidden="false" customHeight="false" outlineLevel="0" collapsed="false">
      <c r="A82" s="75" t="n">
        <f aca="false">A81+1</f>
        <v>81</v>
      </c>
      <c r="B82" s="80" t="s">
        <v>103</v>
      </c>
      <c r="C82" s="77"/>
      <c r="D82" s="77"/>
    </row>
    <row r="83" customFormat="false" ht="18.75" hidden="false" customHeight="false" outlineLevel="0" collapsed="false">
      <c r="A83" s="78" t="n">
        <f aca="false">A82+1</f>
        <v>82</v>
      </c>
      <c r="B83" s="79" t="s">
        <v>104</v>
      </c>
      <c r="C83" s="77"/>
      <c r="D83" s="77"/>
    </row>
    <row r="84" customFormat="false" ht="18.75" hidden="false" customHeight="false" outlineLevel="0" collapsed="false">
      <c r="A84" s="75" t="n">
        <f aca="false">A83+1</f>
        <v>83</v>
      </c>
      <c r="B84" s="80" t="s">
        <v>105</v>
      </c>
      <c r="C84" s="77"/>
      <c r="D84" s="77"/>
    </row>
    <row r="85" customFormat="false" ht="18.75" hidden="false" customHeight="false" outlineLevel="0" collapsed="false">
      <c r="A85" s="78" t="n">
        <f aca="false">A84+1</f>
        <v>84</v>
      </c>
      <c r="B85" s="79" t="s">
        <v>106</v>
      </c>
      <c r="C85" s="77"/>
      <c r="D85" s="77"/>
    </row>
    <row r="86" customFormat="false" ht="18.75" hidden="false" customHeight="false" outlineLevel="0" collapsed="false">
      <c r="A86" s="75" t="n">
        <f aca="false">A85+1</f>
        <v>85</v>
      </c>
      <c r="B86" s="80" t="s">
        <v>107</v>
      </c>
      <c r="C86" s="77"/>
      <c r="D86" s="77"/>
    </row>
    <row r="87" customFormat="false" ht="18.75" hidden="false" customHeight="false" outlineLevel="0" collapsed="false">
      <c r="A87" s="78" t="n">
        <f aca="false">A86+1</f>
        <v>86</v>
      </c>
      <c r="B87" s="79" t="s">
        <v>108</v>
      </c>
      <c r="C87" s="77"/>
      <c r="D87" s="77"/>
    </row>
    <row r="88" customFormat="false" ht="18.75" hidden="false" customHeight="false" outlineLevel="0" collapsed="false">
      <c r="A88" s="75" t="n">
        <f aca="false">A87+1</f>
        <v>87</v>
      </c>
      <c r="B88" s="80" t="s">
        <v>109</v>
      </c>
      <c r="C88" s="77"/>
      <c r="D88" s="77"/>
    </row>
    <row r="89" customFormat="false" ht="18.75" hidden="false" customHeight="false" outlineLevel="0" collapsed="false">
      <c r="A89" s="78" t="n">
        <f aca="false">A88+1</f>
        <v>88</v>
      </c>
      <c r="B89" s="79" t="s">
        <v>110</v>
      </c>
      <c r="C89" s="77"/>
      <c r="D89" s="77"/>
    </row>
    <row r="90" customFormat="false" ht="18.75" hidden="false" customHeight="false" outlineLevel="0" collapsed="false">
      <c r="A90" s="75" t="n">
        <f aca="false">A89+1</f>
        <v>89</v>
      </c>
      <c r="B90" s="80" t="s">
        <v>111</v>
      </c>
      <c r="C90" s="77"/>
      <c r="D90" s="77"/>
    </row>
    <row r="91" customFormat="false" ht="18.75" hidden="false" customHeight="false" outlineLevel="0" collapsed="false">
      <c r="A91" s="78" t="n">
        <f aca="false">A90+1</f>
        <v>90</v>
      </c>
      <c r="B91" s="79" t="s">
        <v>112</v>
      </c>
      <c r="C91" s="77"/>
      <c r="D91" s="77"/>
    </row>
    <row r="92" customFormat="false" ht="18.75" hidden="false" customHeight="false" outlineLevel="0" collapsed="false">
      <c r="A92" s="75" t="n">
        <f aca="false">A91+1</f>
        <v>91</v>
      </c>
      <c r="B92" s="76" t="s">
        <v>113</v>
      </c>
      <c r="C92" s="77"/>
      <c r="D92" s="77"/>
    </row>
    <row r="93" customFormat="false" ht="18.75" hidden="false" customHeight="false" outlineLevel="0" collapsed="false">
      <c r="A93" s="78" t="n">
        <f aca="false">A92+1</f>
        <v>92</v>
      </c>
      <c r="B93" s="79" t="s">
        <v>114</v>
      </c>
      <c r="C93" s="77"/>
      <c r="D93" s="77"/>
    </row>
    <row r="94" customFormat="false" ht="18.75" hidden="false" customHeight="false" outlineLevel="0" collapsed="false">
      <c r="A94" s="75" t="n">
        <f aca="false">A93+1</f>
        <v>93</v>
      </c>
      <c r="B94" s="80" t="s">
        <v>115</v>
      </c>
      <c r="C94" s="77"/>
      <c r="D94" s="77"/>
    </row>
    <row r="95" customFormat="false" ht="18.75" hidden="false" customHeight="false" outlineLevel="0" collapsed="false">
      <c r="A95" s="78" t="n">
        <f aca="false">A94+1</f>
        <v>94</v>
      </c>
      <c r="B95" s="79" t="s">
        <v>116</v>
      </c>
      <c r="C95" s="77"/>
      <c r="D95" s="77"/>
    </row>
    <row r="96" customFormat="false" ht="18.75" hidden="false" customHeight="false" outlineLevel="0" collapsed="false">
      <c r="A96" s="75" t="n">
        <f aca="false">A95+1</f>
        <v>95</v>
      </c>
      <c r="B96" s="76" t="s">
        <v>117</v>
      </c>
      <c r="C96" s="77"/>
      <c r="D96" s="77"/>
    </row>
    <row r="97" customFormat="false" ht="18.75" hidden="false" customHeight="false" outlineLevel="0" collapsed="false">
      <c r="A97" s="78" t="n">
        <f aca="false">A96+1</f>
        <v>96</v>
      </c>
      <c r="B97" s="81" t="s">
        <v>118</v>
      </c>
      <c r="C97" s="77"/>
      <c r="D97" s="77"/>
    </row>
    <row r="98" customFormat="false" ht="18.75" hidden="false" customHeight="false" outlineLevel="0" collapsed="false">
      <c r="A98" s="75" t="n">
        <f aca="false">A97+1</f>
        <v>97</v>
      </c>
      <c r="B98" s="80" t="s">
        <v>119</v>
      </c>
      <c r="C98" s="77"/>
      <c r="D98" s="77"/>
    </row>
    <row r="99" customFormat="false" ht="18.75" hidden="false" customHeight="false" outlineLevel="0" collapsed="false">
      <c r="A99" s="78" t="n">
        <f aca="false">A98+1</f>
        <v>98</v>
      </c>
      <c r="B99" s="81" t="s">
        <v>120</v>
      </c>
      <c r="C99" s="77"/>
      <c r="D99" s="77"/>
    </row>
    <row r="100" customFormat="false" ht="18.75" hidden="false" customHeight="false" outlineLevel="0" collapsed="false">
      <c r="A100" s="75" t="n">
        <f aca="false">A99+1</f>
        <v>99</v>
      </c>
      <c r="B100" s="76" t="s">
        <v>121</v>
      </c>
      <c r="C100" s="77"/>
      <c r="D100" s="77"/>
    </row>
    <row r="101" customFormat="false" ht="18.75" hidden="false" customHeight="false" outlineLevel="0" collapsed="false">
      <c r="A101" s="78" t="n">
        <f aca="false">A100+1</f>
        <v>100</v>
      </c>
      <c r="B101" s="79" t="s">
        <v>122</v>
      </c>
      <c r="C101" s="77"/>
      <c r="D101" s="77"/>
    </row>
    <row r="102" customFormat="false" ht="18.75" hidden="false" customHeight="false" outlineLevel="0" collapsed="false">
      <c r="A102" s="75" t="n">
        <f aca="false">A101+1</f>
        <v>101</v>
      </c>
      <c r="B102" s="80" t="s">
        <v>123</v>
      </c>
      <c r="C102" s="77"/>
      <c r="D102" s="77"/>
    </row>
    <row r="103" customFormat="false" ht="18.75" hidden="false" customHeight="false" outlineLevel="0" collapsed="false">
      <c r="A103" s="78" t="n">
        <f aca="false">A102+1</f>
        <v>102</v>
      </c>
      <c r="B103" s="79" t="s">
        <v>124</v>
      </c>
      <c r="C103" s="77"/>
      <c r="D103" s="77"/>
    </row>
    <row r="104" customFormat="false" ht="18.75" hidden="false" customHeight="false" outlineLevel="0" collapsed="false">
      <c r="A104" s="75" t="n">
        <f aca="false">A103+1</f>
        <v>103</v>
      </c>
      <c r="B104" s="80" t="s">
        <v>125</v>
      </c>
      <c r="C104" s="77"/>
      <c r="D104" s="77"/>
    </row>
    <row r="105" customFormat="false" ht="18.75" hidden="false" customHeight="false" outlineLevel="0" collapsed="false">
      <c r="A105" s="78" t="n">
        <f aca="false">A104+1</f>
        <v>104</v>
      </c>
      <c r="B105" s="81" t="s">
        <v>126</v>
      </c>
      <c r="C105" s="77"/>
      <c r="D105" s="77"/>
    </row>
    <row r="106" customFormat="false" ht="18.75" hidden="false" customHeight="false" outlineLevel="0" collapsed="false">
      <c r="A106" s="75" t="n">
        <f aca="false">A105+1</f>
        <v>105</v>
      </c>
      <c r="B106" s="80" t="s">
        <v>127</v>
      </c>
      <c r="C106" s="77"/>
      <c r="D106" s="77"/>
    </row>
    <row r="107" customFormat="false" ht="18.75" hidden="false" customHeight="false" outlineLevel="0" collapsed="false">
      <c r="A107" s="78" t="n">
        <f aca="false">A106+1</f>
        <v>106</v>
      </c>
      <c r="B107" s="79" t="s">
        <v>128</v>
      </c>
      <c r="C107" s="77"/>
      <c r="D107" s="77"/>
    </row>
    <row r="108" customFormat="false" ht="18.75" hidden="false" customHeight="false" outlineLevel="0" collapsed="false">
      <c r="A108" s="75" t="n">
        <f aca="false">A107+1</f>
        <v>107</v>
      </c>
      <c r="B108" s="80" t="s">
        <v>129</v>
      </c>
      <c r="C108" s="77"/>
      <c r="D108" s="77"/>
    </row>
    <row r="109" customFormat="false" ht="18.75" hidden="false" customHeight="false" outlineLevel="0" collapsed="false">
      <c r="A109" s="78" t="n">
        <f aca="false">A108+1</f>
        <v>108</v>
      </c>
      <c r="B109" s="79" t="s">
        <v>130</v>
      </c>
      <c r="C109" s="77"/>
      <c r="D109" s="77"/>
    </row>
    <row r="110" customFormat="false" ht="18.75" hidden="false" customHeight="false" outlineLevel="0" collapsed="false">
      <c r="A110" s="75" t="n">
        <f aca="false">A109+1</f>
        <v>109</v>
      </c>
      <c r="B110" s="76" t="s">
        <v>131</v>
      </c>
      <c r="C110" s="77"/>
      <c r="D110" s="77"/>
    </row>
    <row r="111" customFormat="false" ht="18.75" hidden="false" customHeight="false" outlineLevel="0" collapsed="false">
      <c r="A111" s="78" t="n">
        <f aca="false">A110+1</f>
        <v>110</v>
      </c>
      <c r="B111" s="81" t="s">
        <v>132</v>
      </c>
      <c r="C111" s="77"/>
      <c r="D111" s="77"/>
    </row>
    <row r="112" customFormat="false" ht="18.75" hidden="false" customHeight="false" outlineLevel="0" collapsed="false">
      <c r="A112" s="75" t="n">
        <f aca="false">A111+1</f>
        <v>111</v>
      </c>
      <c r="B112" s="80" t="s">
        <v>133</v>
      </c>
      <c r="C112" s="77"/>
      <c r="D112" s="77"/>
    </row>
    <row r="113" customFormat="false" ht="18.75" hidden="false" customHeight="false" outlineLevel="0" collapsed="false">
      <c r="A113" s="78" t="n">
        <f aca="false">A112+1</f>
        <v>112</v>
      </c>
      <c r="B113" s="79" t="s">
        <v>134</v>
      </c>
      <c r="C113" s="77"/>
      <c r="D113" s="77"/>
    </row>
    <row r="114" customFormat="false" ht="18.75" hidden="false" customHeight="false" outlineLevel="0" collapsed="false">
      <c r="A114" s="75" t="n">
        <f aca="false">A113+1</f>
        <v>113</v>
      </c>
      <c r="B114" s="80" t="s">
        <v>135</v>
      </c>
      <c r="C114" s="77"/>
      <c r="D114" s="77"/>
    </row>
    <row r="115" customFormat="false" ht="18.75" hidden="false" customHeight="false" outlineLevel="0" collapsed="false">
      <c r="A115" s="78" t="n">
        <f aca="false">A114+1</f>
        <v>114</v>
      </c>
      <c r="B115" s="79" t="s">
        <v>136</v>
      </c>
      <c r="C115" s="77"/>
      <c r="D115" s="77"/>
    </row>
    <row r="116" customFormat="false" ht="18.75" hidden="false" customHeight="false" outlineLevel="0" collapsed="false">
      <c r="A116" s="75" t="n">
        <f aca="false">A115+1</f>
        <v>115</v>
      </c>
      <c r="B116" s="80" t="s">
        <v>137</v>
      </c>
      <c r="C116" s="77"/>
      <c r="D116" s="77"/>
    </row>
    <row r="117" customFormat="false" ht="18.75" hidden="false" customHeight="false" outlineLevel="0" collapsed="false">
      <c r="A117" s="78" t="n">
        <f aca="false">A116+1</f>
        <v>116</v>
      </c>
      <c r="B117" s="79" t="s">
        <v>138</v>
      </c>
      <c r="C117" s="77"/>
      <c r="D117" s="77"/>
    </row>
    <row r="118" customFormat="false" ht="18.75" hidden="false" customHeight="false" outlineLevel="0" collapsed="false">
      <c r="A118" s="75" t="n">
        <f aca="false">A117+1</f>
        <v>117</v>
      </c>
      <c r="B118" s="80" t="s">
        <v>139</v>
      </c>
      <c r="C118" s="77"/>
      <c r="D118" s="77"/>
    </row>
    <row r="119" customFormat="false" ht="18.75" hidden="false" customHeight="false" outlineLevel="0" collapsed="false">
      <c r="A119" s="78" t="n">
        <f aca="false">A118+1</f>
        <v>118</v>
      </c>
      <c r="B119" s="79" t="s">
        <v>140</v>
      </c>
      <c r="C119" s="77"/>
      <c r="D119" s="77"/>
    </row>
    <row r="120" customFormat="false" ht="18.75" hidden="false" customHeight="false" outlineLevel="0" collapsed="false">
      <c r="A120" s="75" t="n">
        <f aca="false">A119+1</f>
        <v>119</v>
      </c>
      <c r="B120" s="80" t="s">
        <v>141</v>
      </c>
      <c r="C120" s="77"/>
      <c r="D120" s="77"/>
    </row>
    <row r="121" customFormat="false" ht="15" hidden="false" customHeight="false" outlineLevel="0" collapsed="false">
      <c r="A121" s="78" t="n">
        <f aca="false">A120+1</f>
        <v>120</v>
      </c>
      <c r="B121" s="77" t="s">
        <v>142</v>
      </c>
      <c r="C121" s="77"/>
      <c r="D121" s="77"/>
    </row>
    <row r="122" customFormat="false" ht="15" hidden="false" customHeight="false" outlineLevel="0" collapsed="false">
      <c r="A122" s="75" t="n">
        <f aca="false">A121+1</f>
        <v>121</v>
      </c>
      <c r="B122" s="84" t="s">
        <v>143</v>
      </c>
      <c r="C122" s="77"/>
      <c r="D122" s="77"/>
    </row>
    <row r="123" customFormat="false" ht="15" hidden="false" customHeight="false" outlineLevel="0" collapsed="false">
      <c r="A123" s="78" t="n">
        <f aca="false">A122+1</f>
        <v>122</v>
      </c>
      <c r="B123" s="77" t="s">
        <v>144</v>
      </c>
      <c r="C123" s="77"/>
      <c r="D123" s="77"/>
    </row>
    <row r="124" customFormat="false" ht="15" hidden="false" customHeight="false" outlineLevel="0" collapsed="false">
      <c r="A124" s="75" t="n">
        <f aca="false">A123+1</f>
        <v>123</v>
      </c>
      <c r="B124" s="84" t="s">
        <v>145</v>
      </c>
      <c r="C124" s="77"/>
      <c r="D124" s="77"/>
    </row>
    <row r="125" customFormat="false" ht="15" hidden="false" customHeight="false" outlineLevel="0" collapsed="false">
      <c r="A125" s="78" t="n">
        <f aca="false">A124+1</f>
        <v>124</v>
      </c>
      <c r="B125" s="77" t="s">
        <v>146</v>
      </c>
      <c r="C125" s="77"/>
      <c r="D125" s="77"/>
    </row>
    <row r="126" customFormat="false" ht="15" hidden="false" customHeight="false" outlineLevel="0" collapsed="false">
      <c r="A126" s="75" t="n">
        <f aca="false">A125+1</f>
        <v>125</v>
      </c>
      <c r="B126" s="84" t="s">
        <v>147</v>
      </c>
      <c r="C126" s="77"/>
      <c r="D126" s="77"/>
    </row>
    <row r="127" customFormat="false" ht="15" hidden="false" customHeight="false" outlineLevel="0" collapsed="false">
      <c r="A127" s="78" t="n">
        <f aca="false">A126+1</f>
        <v>126</v>
      </c>
      <c r="B127" s="77" t="s">
        <v>148</v>
      </c>
      <c r="C127" s="77"/>
      <c r="D127" s="77"/>
    </row>
    <row r="128" customFormat="false" ht="15" hidden="false" customHeight="false" outlineLevel="0" collapsed="false">
      <c r="A128" s="75" t="n">
        <f aca="false">A127+1</f>
        <v>127</v>
      </c>
      <c r="B128" s="84" t="s">
        <v>149</v>
      </c>
      <c r="C128" s="77"/>
      <c r="D128" s="77"/>
    </row>
    <row r="129" customFormat="false" ht="15" hidden="false" customHeight="false" outlineLevel="0" collapsed="false">
      <c r="A129" s="78" t="n">
        <f aca="false">A128+1</f>
        <v>128</v>
      </c>
      <c r="B129" s="77" t="s">
        <v>150</v>
      </c>
      <c r="C129" s="77"/>
      <c r="D129" s="77"/>
    </row>
    <row r="130" customFormat="false" ht="15" hidden="false" customHeight="false" outlineLevel="0" collapsed="false">
      <c r="A130" s="75" t="n">
        <f aca="false">A129+1</f>
        <v>129</v>
      </c>
      <c r="B130" s="84" t="s">
        <v>151</v>
      </c>
      <c r="C130" s="77"/>
      <c r="D130" s="77"/>
    </row>
    <row r="131" customFormat="false" ht="15" hidden="false" customHeight="false" outlineLevel="0" collapsed="false">
      <c r="A131" s="78" t="n">
        <f aca="false">A130+1</f>
        <v>130</v>
      </c>
      <c r="B131" s="77" t="s">
        <v>152</v>
      </c>
      <c r="C131" s="77"/>
      <c r="D131" s="77"/>
    </row>
    <row r="132" customFormat="false" ht="15" hidden="false" customHeight="false" outlineLevel="0" collapsed="false">
      <c r="A132" s="75" t="n">
        <f aca="false">A131+1</f>
        <v>131</v>
      </c>
      <c r="B132" s="84" t="s">
        <v>153</v>
      </c>
      <c r="C132" s="77"/>
      <c r="D132" s="77"/>
    </row>
    <row r="133" customFormat="false" ht="15" hidden="false" customHeight="false" outlineLevel="0" collapsed="false">
      <c r="A133" s="78" t="n">
        <f aca="false">A132+1</f>
        <v>132</v>
      </c>
      <c r="B133" s="77" t="s">
        <v>154</v>
      </c>
      <c r="C133" s="77"/>
      <c r="D133" s="77"/>
    </row>
    <row r="134" customFormat="false" ht="15" hidden="false" customHeight="false" outlineLevel="0" collapsed="false">
      <c r="A134" s="75" t="n">
        <f aca="false">A133+1</f>
        <v>133</v>
      </c>
      <c r="B134" s="84"/>
      <c r="C134" s="77"/>
      <c r="D134" s="77"/>
    </row>
    <row r="135" customFormat="false" ht="15" hidden="false" customHeight="false" outlineLevel="0" collapsed="false">
      <c r="A135" s="78" t="n">
        <f aca="false">A134+1</f>
        <v>134</v>
      </c>
      <c r="B135" s="77"/>
      <c r="C135" s="77"/>
      <c r="D135" s="77"/>
    </row>
    <row r="136" customFormat="false" ht="15" hidden="false" customHeight="false" outlineLevel="0" collapsed="false">
      <c r="A136" s="75" t="n">
        <f aca="false">A135+1</f>
        <v>135</v>
      </c>
      <c r="B136" s="84"/>
      <c r="C136" s="77"/>
      <c r="D136" s="77"/>
    </row>
    <row r="137" customFormat="false" ht="15" hidden="false" customHeight="false" outlineLevel="0" collapsed="false">
      <c r="A137" s="78" t="n">
        <f aca="false">A136+1</f>
        <v>136</v>
      </c>
      <c r="B137" s="77"/>
      <c r="C137" s="77"/>
      <c r="D137" s="77"/>
    </row>
    <row r="138" customFormat="false" ht="15" hidden="false" customHeight="false" outlineLevel="0" collapsed="false">
      <c r="A138" s="75" t="n">
        <f aca="false">A137+1</f>
        <v>137</v>
      </c>
      <c r="B138" s="84"/>
      <c r="C138" s="77"/>
      <c r="D138" s="77"/>
    </row>
    <row r="139" customFormat="false" ht="15" hidden="false" customHeight="false" outlineLevel="0" collapsed="false">
      <c r="A139" s="78" t="n">
        <f aca="false">A138+1</f>
        <v>138</v>
      </c>
      <c r="B139" s="77"/>
      <c r="C139" s="77"/>
      <c r="D139" s="77"/>
    </row>
    <row r="140" customFormat="false" ht="15" hidden="false" customHeight="false" outlineLevel="0" collapsed="false">
      <c r="A140" s="75" t="n">
        <f aca="false">A139+1</f>
        <v>139</v>
      </c>
      <c r="B140" s="84"/>
      <c r="C140" s="77"/>
      <c r="D140" s="77"/>
    </row>
    <row r="141" customFormat="false" ht="15" hidden="false" customHeight="false" outlineLevel="0" collapsed="false">
      <c r="A141" s="78" t="n">
        <f aca="false">A140+1</f>
        <v>140</v>
      </c>
      <c r="B141" s="77"/>
      <c r="C141" s="77"/>
      <c r="D141" s="77"/>
    </row>
    <row r="142" customFormat="false" ht="15" hidden="false" customHeight="false" outlineLevel="0" collapsed="false">
      <c r="A142" s="75" t="n">
        <f aca="false">A141+1</f>
        <v>141</v>
      </c>
      <c r="B142" s="84"/>
      <c r="C142" s="77"/>
      <c r="D142" s="77"/>
    </row>
    <row r="143" customFormat="false" ht="15" hidden="false" customHeight="false" outlineLevel="0" collapsed="false">
      <c r="A143" s="78" t="n">
        <f aca="false">A142+1</f>
        <v>142</v>
      </c>
      <c r="B143" s="77"/>
      <c r="C143" s="77"/>
      <c r="D143" s="77"/>
    </row>
    <row r="144" customFormat="false" ht="15" hidden="false" customHeight="false" outlineLevel="0" collapsed="false">
      <c r="A144" s="75" t="n">
        <f aca="false">A143+1</f>
        <v>143</v>
      </c>
      <c r="B144" s="84"/>
      <c r="C144" s="77"/>
      <c r="D144" s="77"/>
    </row>
    <row r="145" customFormat="false" ht="15" hidden="false" customHeight="false" outlineLevel="0" collapsed="false">
      <c r="A145" s="78" t="n">
        <f aca="false">A144+1</f>
        <v>144</v>
      </c>
      <c r="B145" s="77"/>
      <c r="C145" s="77"/>
      <c r="D145" s="77"/>
    </row>
    <row r="146" customFormat="false" ht="15" hidden="false" customHeight="false" outlineLevel="0" collapsed="false">
      <c r="A146" s="75" t="n">
        <f aca="false">A145+1</f>
        <v>145</v>
      </c>
      <c r="B146" s="84"/>
      <c r="C146" s="77"/>
      <c r="D146" s="77"/>
    </row>
    <row r="147" customFormat="false" ht="15" hidden="false" customHeight="false" outlineLevel="0" collapsed="false">
      <c r="A147" s="78" t="n">
        <f aca="false">A146+1</f>
        <v>146</v>
      </c>
      <c r="B147" s="77"/>
      <c r="C147" s="77"/>
      <c r="D147" s="77"/>
    </row>
    <row r="148" customFormat="false" ht="15" hidden="false" customHeight="false" outlineLevel="0" collapsed="false">
      <c r="A148" s="75" t="n">
        <f aca="false">A147+1</f>
        <v>147</v>
      </c>
      <c r="B148" s="84"/>
      <c r="C148" s="77"/>
      <c r="D148" s="77"/>
    </row>
    <row r="149" customFormat="false" ht="15" hidden="false" customHeight="false" outlineLevel="0" collapsed="false">
      <c r="A149" s="78" t="n">
        <f aca="false">A148+1</f>
        <v>148</v>
      </c>
      <c r="B149" s="77"/>
      <c r="C149" s="77"/>
      <c r="D149" s="77"/>
    </row>
    <row r="150" customFormat="false" ht="15" hidden="false" customHeight="false" outlineLevel="0" collapsed="false">
      <c r="A150" s="75" t="n">
        <f aca="false">A149+1</f>
        <v>149</v>
      </c>
      <c r="B150" s="84"/>
      <c r="C150" s="77"/>
      <c r="D150" s="77"/>
    </row>
    <row r="151" customFormat="false" ht="15" hidden="false" customHeight="false" outlineLevel="0" collapsed="false">
      <c r="A151" s="78" t="n">
        <f aca="false">A150+1</f>
        <v>150</v>
      </c>
      <c r="B151" s="77"/>
      <c r="C151" s="77"/>
      <c r="D151" s="77"/>
    </row>
    <row r="152" customFormat="false" ht="15" hidden="false" customHeight="false" outlineLevel="0" collapsed="false">
      <c r="A152" s="75" t="n">
        <f aca="false">A151+1</f>
        <v>151</v>
      </c>
      <c r="B152" s="84"/>
      <c r="C152" s="77"/>
      <c r="D152" s="77"/>
    </row>
    <row r="153" customFormat="false" ht="15" hidden="false" customHeight="false" outlineLevel="0" collapsed="false">
      <c r="A153" s="78" t="n">
        <f aca="false">A152+1</f>
        <v>152</v>
      </c>
      <c r="B153" s="77"/>
      <c r="C153" s="77"/>
      <c r="D153" s="77"/>
    </row>
    <row r="154" customFormat="false" ht="15" hidden="false" customHeight="false" outlineLevel="0" collapsed="false">
      <c r="A154" s="75" t="n">
        <f aca="false">A153+1</f>
        <v>153</v>
      </c>
      <c r="B154" s="84"/>
      <c r="C154" s="77"/>
      <c r="D154" s="77"/>
    </row>
    <row r="155" customFormat="false" ht="15" hidden="false" customHeight="false" outlineLevel="0" collapsed="false">
      <c r="A155" s="78" t="n">
        <f aca="false">A154+1</f>
        <v>154</v>
      </c>
      <c r="B155" s="77"/>
      <c r="C155" s="77"/>
      <c r="D155" s="77"/>
    </row>
    <row r="156" customFormat="false" ht="15" hidden="false" customHeight="false" outlineLevel="0" collapsed="false">
      <c r="A156" s="75" t="n">
        <f aca="false">A155+1</f>
        <v>155</v>
      </c>
      <c r="B156" s="84"/>
      <c r="C156" s="77"/>
      <c r="D156" s="77"/>
    </row>
    <row r="157" customFormat="false" ht="15" hidden="false" customHeight="false" outlineLevel="0" collapsed="false">
      <c r="A157" s="78" t="n">
        <f aca="false">A156+1</f>
        <v>156</v>
      </c>
      <c r="B157" s="77"/>
      <c r="C157" s="77"/>
      <c r="D157" s="77"/>
    </row>
    <row r="158" customFormat="false" ht="15" hidden="false" customHeight="false" outlineLevel="0" collapsed="false">
      <c r="A158" s="75" t="n">
        <f aca="false">A157+1</f>
        <v>157</v>
      </c>
      <c r="B158" s="84"/>
      <c r="C158" s="77"/>
      <c r="D158" s="77"/>
    </row>
    <row r="159" customFormat="false" ht="15" hidden="false" customHeight="false" outlineLevel="0" collapsed="false">
      <c r="A159" s="78" t="n">
        <f aca="false">A158+1</f>
        <v>158</v>
      </c>
      <c r="B159" s="77"/>
      <c r="C159" s="77"/>
      <c r="D159" s="77"/>
    </row>
    <row r="160" customFormat="false" ht="15" hidden="false" customHeight="false" outlineLevel="0" collapsed="false">
      <c r="A160" s="75" t="n">
        <f aca="false">A159+1</f>
        <v>159</v>
      </c>
      <c r="B160" s="84"/>
      <c r="C160" s="77"/>
      <c r="D160" s="77"/>
    </row>
    <row r="161" customFormat="false" ht="15" hidden="false" customHeight="false" outlineLevel="0" collapsed="false">
      <c r="A161" s="78" t="n">
        <f aca="false">A160+1</f>
        <v>160</v>
      </c>
      <c r="B161" s="77"/>
      <c r="C161" s="77"/>
      <c r="D161" s="77"/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MJ1200"/>
  <sheetViews>
    <sheetView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A8" activeCellId="1" sqref="E:E A8"/>
    </sheetView>
  </sheetViews>
  <sheetFormatPr defaultRowHeight="13.8" zeroHeight="false" outlineLevelRow="0" outlineLevelCol="0"/>
  <cols>
    <col collapsed="false" customWidth="true" hidden="false" outlineLevel="0" max="1" min="1" style="85" width="17.57"/>
    <col collapsed="false" customWidth="true" hidden="false" outlineLevel="0" max="2" min="2" style="66" width="35.57"/>
    <col collapsed="false" customWidth="true" hidden="false" outlineLevel="0" max="3" min="3" style="86" width="12.43"/>
    <col collapsed="false" customWidth="true" hidden="false" outlineLevel="0" max="4" min="4" style="87" width="15.28"/>
    <col collapsed="false" customWidth="true" hidden="false" outlineLevel="0" max="5" min="5" style="88" width="16.43"/>
    <col collapsed="false" customWidth="true" hidden="false" outlineLevel="0" max="6" min="6" style="89" width="12.85"/>
    <col collapsed="false" customWidth="true" hidden="false" outlineLevel="0" max="7" min="7" style="90" width="34"/>
    <col collapsed="false" customWidth="true" hidden="false" outlineLevel="0" max="8" min="8" style="0" width="8.49"/>
    <col collapsed="false" customWidth="true" hidden="false" outlineLevel="0" max="9" min="9" style="0" width="13.85"/>
    <col collapsed="false" customWidth="true" hidden="false" outlineLevel="0" max="1025" min="10" style="0" width="8.49"/>
  </cols>
  <sheetData>
    <row r="1" customFormat="false" ht="14.4" hidden="false" customHeight="false" outlineLevel="0" collapsed="false">
      <c r="A1" s="91" t="s">
        <v>4</v>
      </c>
      <c r="B1" s="92" t="s">
        <v>6</v>
      </c>
      <c r="C1" s="93" t="s">
        <v>5</v>
      </c>
      <c r="D1" s="94" t="s">
        <v>7</v>
      </c>
      <c r="E1" s="92" t="s">
        <v>8</v>
      </c>
      <c r="F1" s="95" t="s">
        <v>9</v>
      </c>
      <c r="G1" s="91" t="s">
        <v>10</v>
      </c>
    </row>
    <row r="2" s="101" customFormat="true" ht="18" hidden="false" customHeight="true" outlineLevel="0" collapsed="false">
      <c r="A2" s="96" t="n">
        <v>104</v>
      </c>
      <c r="B2" s="97" t="s">
        <v>126</v>
      </c>
      <c r="C2" s="98" t="n">
        <v>43796</v>
      </c>
      <c r="D2" s="87" t="n">
        <v>4</v>
      </c>
      <c r="E2" s="99" t="n">
        <v>1</v>
      </c>
      <c r="F2" s="89" t="s">
        <v>178</v>
      </c>
      <c r="G2" s="100" t="s">
        <v>179</v>
      </c>
    </row>
    <row r="3" s="101" customFormat="true" ht="18" hidden="false" customHeight="true" outlineLevel="0" collapsed="false">
      <c r="A3" s="96" t="n">
        <v>104</v>
      </c>
      <c r="B3" s="97" t="s">
        <v>126</v>
      </c>
      <c r="C3" s="98" t="n">
        <v>43782</v>
      </c>
      <c r="D3" s="87" t="n">
        <v>1</v>
      </c>
      <c r="E3" s="99" t="n">
        <v>1</v>
      </c>
      <c r="F3" s="89" t="s">
        <v>178</v>
      </c>
      <c r="G3" s="100" t="s">
        <v>180</v>
      </c>
    </row>
    <row r="4" s="101" customFormat="true" ht="18" hidden="false" customHeight="true" outlineLevel="0" collapsed="false">
      <c r="A4" s="96" t="n">
        <v>104</v>
      </c>
      <c r="B4" s="97" t="s">
        <v>126</v>
      </c>
      <c r="C4" s="98" t="n">
        <v>43782</v>
      </c>
      <c r="D4" s="87" t="n">
        <v>1</v>
      </c>
      <c r="E4" s="99" t="n">
        <v>1</v>
      </c>
      <c r="F4" s="89" t="s">
        <v>178</v>
      </c>
      <c r="G4" s="100" t="s">
        <v>181</v>
      </c>
    </row>
    <row r="5" s="101" customFormat="true" ht="18" hidden="false" customHeight="true" outlineLevel="0" collapsed="false">
      <c r="A5" s="96" t="n">
        <v>104</v>
      </c>
      <c r="B5" s="97" t="s">
        <v>126</v>
      </c>
      <c r="C5" s="98" t="n">
        <v>43780</v>
      </c>
      <c r="D5" s="87" t="n">
        <v>1</v>
      </c>
      <c r="E5" s="99" t="n">
        <v>1</v>
      </c>
      <c r="F5" s="89" t="s">
        <v>178</v>
      </c>
      <c r="G5" s="100" t="s">
        <v>182</v>
      </c>
    </row>
    <row r="6" s="101" customFormat="true" ht="18" hidden="false" customHeight="true" outlineLevel="0" collapsed="false">
      <c r="A6" s="96" t="n">
        <v>104</v>
      </c>
      <c r="B6" s="97" t="s">
        <v>126</v>
      </c>
      <c r="C6" s="98" t="n">
        <v>43778</v>
      </c>
      <c r="D6" s="87" t="n">
        <v>1</v>
      </c>
      <c r="E6" s="99" t="n">
        <v>1</v>
      </c>
      <c r="F6" s="89" t="s">
        <v>178</v>
      </c>
      <c r="G6" s="100" t="s">
        <v>183</v>
      </c>
    </row>
    <row r="7" s="101" customFormat="true" ht="18" hidden="false" customHeight="true" outlineLevel="0" collapsed="false">
      <c r="A7" s="96" t="n">
        <v>104</v>
      </c>
      <c r="B7" s="97" t="s">
        <v>126</v>
      </c>
      <c r="C7" s="98" t="n">
        <v>43777</v>
      </c>
      <c r="D7" s="87" t="n">
        <v>1</v>
      </c>
      <c r="E7" s="99" t="n">
        <v>1</v>
      </c>
      <c r="F7" s="89" t="s">
        <v>178</v>
      </c>
      <c r="G7" s="100" t="s">
        <v>184</v>
      </c>
    </row>
    <row r="8" s="101" customFormat="true" ht="18" hidden="false" customHeight="true" outlineLevel="0" collapsed="false">
      <c r="A8" s="96" t="n">
        <v>104</v>
      </c>
      <c r="B8" s="97" t="s">
        <v>126</v>
      </c>
      <c r="C8" s="98" t="n">
        <v>43777</v>
      </c>
      <c r="D8" s="87" t="n">
        <v>1</v>
      </c>
      <c r="E8" s="99" t="n">
        <v>1</v>
      </c>
      <c r="F8" s="89" t="s">
        <v>178</v>
      </c>
      <c r="G8" s="100" t="s">
        <v>185</v>
      </c>
    </row>
    <row r="9" s="101" customFormat="true" ht="18" hidden="false" customHeight="true" outlineLevel="0" collapsed="false">
      <c r="A9" s="96" t="n">
        <v>104</v>
      </c>
      <c r="B9" s="97" t="s">
        <v>126</v>
      </c>
      <c r="C9" s="98" t="n">
        <v>43776</v>
      </c>
      <c r="D9" s="87" t="n">
        <v>2</v>
      </c>
      <c r="E9" s="99" t="n">
        <v>1</v>
      </c>
      <c r="F9" s="89" t="s">
        <v>178</v>
      </c>
      <c r="G9" s="100" t="s">
        <v>186</v>
      </c>
    </row>
    <row r="10" s="101" customFormat="true" ht="18" hidden="false" customHeight="true" outlineLevel="0" collapsed="false">
      <c r="A10" s="96" t="n">
        <v>104</v>
      </c>
      <c r="B10" s="97" t="s">
        <v>126</v>
      </c>
      <c r="C10" s="98" t="n">
        <v>43775</v>
      </c>
      <c r="D10" s="87" t="n">
        <v>1</v>
      </c>
      <c r="E10" s="99" t="n">
        <v>1</v>
      </c>
      <c r="F10" s="89" t="s">
        <v>178</v>
      </c>
      <c r="G10" s="100" t="s">
        <v>187</v>
      </c>
    </row>
    <row r="11" s="101" customFormat="true" ht="18" hidden="false" customHeight="true" outlineLevel="0" collapsed="false">
      <c r="A11" s="96" t="n">
        <v>104</v>
      </c>
      <c r="B11" s="97" t="s">
        <v>126</v>
      </c>
      <c r="C11" s="98" t="n">
        <v>43775</v>
      </c>
      <c r="D11" s="87" t="n">
        <v>1</v>
      </c>
      <c r="E11" s="99" t="n">
        <v>1</v>
      </c>
      <c r="F11" s="89" t="s">
        <v>178</v>
      </c>
      <c r="G11" s="100" t="s">
        <v>188</v>
      </c>
    </row>
    <row r="12" s="101" customFormat="true" ht="18" hidden="false" customHeight="true" outlineLevel="0" collapsed="false">
      <c r="A12" s="96" t="n">
        <v>104</v>
      </c>
      <c r="B12" s="97" t="s">
        <v>126</v>
      </c>
      <c r="C12" s="98" t="n">
        <v>43775</v>
      </c>
      <c r="D12" s="87" t="n">
        <v>1</v>
      </c>
      <c r="E12" s="99" t="n">
        <v>1</v>
      </c>
      <c r="F12" s="89" t="s">
        <v>178</v>
      </c>
      <c r="G12" s="100" t="s">
        <v>189</v>
      </c>
    </row>
    <row r="13" s="101" customFormat="true" ht="18" hidden="false" customHeight="true" outlineLevel="0" collapsed="false">
      <c r="A13" s="96" t="n">
        <v>104</v>
      </c>
      <c r="B13" s="97" t="s">
        <v>126</v>
      </c>
      <c r="C13" s="98" t="n">
        <v>43775</v>
      </c>
      <c r="D13" s="87" t="n">
        <v>1</v>
      </c>
      <c r="E13" s="99" t="n">
        <v>1</v>
      </c>
      <c r="F13" s="89" t="s">
        <v>178</v>
      </c>
      <c r="G13" s="100" t="s">
        <v>190</v>
      </c>
    </row>
    <row r="14" s="101" customFormat="true" ht="18" hidden="false" customHeight="true" outlineLevel="0" collapsed="false">
      <c r="A14" s="96" t="n">
        <v>104</v>
      </c>
      <c r="B14" s="97" t="s">
        <v>126</v>
      </c>
      <c r="C14" s="98" t="n">
        <v>43774</v>
      </c>
      <c r="D14" s="87" t="n">
        <v>2</v>
      </c>
      <c r="E14" s="99" t="n">
        <v>1</v>
      </c>
      <c r="F14" s="89" t="s">
        <v>178</v>
      </c>
      <c r="G14" s="100" t="s">
        <v>191</v>
      </c>
    </row>
    <row r="15" s="101" customFormat="true" ht="18" hidden="false" customHeight="true" outlineLevel="0" collapsed="false">
      <c r="A15" s="96" t="n">
        <v>128</v>
      </c>
      <c r="B15" s="97" t="s">
        <v>150</v>
      </c>
      <c r="C15" s="98" t="n">
        <v>43773</v>
      </c>
      <c r="D15" s="87" t="n">
        <v>1</v>
      </c>
      <c r="E15" s="99" t="n">
        <v>1</v>
      </c>
      <c r="F15" s="89" t="s">
        <v>178</v>
      </c>
      <c r="G15" s="100" t="s">
        <v>192</v>
      </c>
    </row>
    <row r="16" s="101" customFormat="true" ht="18" hidden="false" customHeight="true" outlineLevel="0" collapsed="false">
      <c r="A16" s="96" t="n">
        <v>104</v>
      </c>
      <c r="B16" s="97" t="s">
        <v>126</v>
      </c>
      <c r="C16" s="98" t="n">
        <v>43770</v>
      </c>
      <c r="D16" s="87" t="n">
        <v>1</v>
      </c>
      <c r="E16" s="99" t="n">
        <v>1</v>
      </c>
      <c r="F16" s="89" t="s">
        <v>178</v>
      </c>
      <c r="G16" s="100" t="s">
        <v>193</v>
      </c>
    </row>
    <row r="17" s="101" customFormat="true" ht="18" hidden="false" customHeight="true" outlineLevel="0" collapsed="false">
      <c r="A17" s="96" t="n">
        <v>104</v>
      </c>
      <c r="B17" s="97" t="s">
        <v>126</v>
      </c>
      <c r="C17" s="98" t="n">
        <v>43769</v>
      </c>
      <c r="D17" s="87" t="n">
        <v>1</v>
      </c>
      <c r="E17" s="99" t="n">
        <v>1</v>
      </c>
      <c r="F17" s="89" t="s">
        <v>178</v>
      </c>
      <c r="G17" s="100" t="s">
        <v>194</v>
      </c>
    </row>
    <row r="18" s="101" customFormat="true" ht="18" hidden="false" customHeight="true" outlineLevel="0" collapsed="false">
      <c r="A18" s="96" t="n">
        <v>104</v>
      </c>
      <c r="B18" s="97" t="s">
        <v>126</v>
      </c>
      <c r="C18" s="98" t="n">
        <v>43769</v>
      </c>
      <c r="D18" s="87" t="n">
        <v>1</v>
      </c>
      <c r="E18" s="99" t="n">
        <v>1</v>
      </c>
      <c r="F18" s="89" t="s">
        <v>178</v>
      </c>
      <c r="G18" s="100" t="s">
        <v>195</v>
      </c>
    </row>
    <row r="19" s="101" customFormat="true" ht="18" hidden="false" customHeight="true" outlineLevel="0" collapsed="false">
      <c r="A19" s="96" t="n">
        <v>104</v>
      </c>
      <c r="B19" s="97" t="s">
        <v>126</v>
      </c>
      <c r="C19" s="98" t="n">
        <v>43769</v>
      </c>
      <c r="D19" s="87" t="n">
        <v>2</v>
      </c>
      <c r="E19" s="99" t="n">
        <v>1</v>
      </c>
      <c r="F19" s="89" t="s">
        <v>178</v>
      </c>
      <c r="G19" s="100" t="s">
        <v>196</v>
      </c>
    </row>
    <row r="20" s="101" customFormat="true" ht="18" hidden="false" customHeight="true" outlineLevel="0" collapsed="false">
      <c r="A20" s="96" t="n">
        <v>104</v>
      </c>
      <c r="B20" s="97" t="s">
        <v>126</v>
      </c>
      <c r="C20" s="98" t="n">
        <v>43768</v>
      </c>
      <c r="D20" s="87" t="n">
        <v>4</v>
      </c>
      <c r="E20" s="99" t="n">
        <v>1</v>
      </c>
      <c r="F20" s="89" t="s">
        <v>178</v>
      </c>
      <c r="G20" s="100" t="s">
        <v>197</v>
      </c>
    </row>
    <row r="21" s="101" customFormat="true" ht="18" hidden="false" customHeight="true" outlineLevel="0" collapsed="false">
      <c r="A21" s="96" t="n">
        <v>145</v>
      </c>
      <c r="B21" s="97" t="s">
        <v>167</v>
      </c>
      <c r="C21" s="98" t="n">
        <v>43766</v>
      </c>
      <c r="D21" s="87" t="n">
        <v>1</v>
      </c>
      <c r="E21" s="99" t="n">
        <v>1</v>
      </c>
      <c r="F21" s="89" t="s">
        <v>178</v>
      </c>
      <c r="G21" s="100" t="s">
        <v>198</v>
      </c>
    </row>
    <row r="22" s="101" customFormat="true" ht="18" hidden="false" customHeight="true" outlineLevel="0" collapsed="false">
      <c r="A22" s="96" t="n">
        <v>104</v>
      </c>
      <c r="B22" s="97" t="s">
        <v>126</v>
      </c>
      <c r="C22" s="98" t="n">
        <v>43763</v>
      </c>
      <c r="D22" s="87" t="n">
        <v>1</v>
      </c>
      <c r="E22" s="99" t="n">
        <v>1</v>
      </c>
      <c r="F22" s="89" t="s">
        <v>178</v>
      </c>
      <c r="G22" s="100" t="s">
        <v>199</v>
      </c>
    </row>
    <row r="23" s="101" customFormat="true" ht="18" hidden="false" customHeight="true" outlineLevel="0" collapsed="false">
      <c r="A23" s="96" t="n">
        <v>104</v>
      </c>
      <c r="B23" s="97" t="s">
        <v>126</v>
      </c>
      <c r="C23" s="98" t="n">
        <v>43763</v>
      </c>
      <c r="D23" s="87" t="n">
        <v>1</v>
      </c>
      <c r="E23" s="99" t="n">
        <v>1</v>
      </c>
      <c r="F23" s="89" t="s">
        <v>178</v>
      </c>
      <c r="G23" s="100" t="s">
        <v>200</v>
      </c>
    </row>
    <row r="24" s="101" customFormat="true" ht="18" hidden="false" customHeight="true" outlineLevel="0" collapsed="false">
      <c r="A24" s="96" t="n">
        <v>104</v>
      </c>
      <c r="B24" s="97" t="s">
        <v>126</v>
      </c>
      <c r="C24" s="98" t="n">
        <v>43762</v>
      </c>
      <c r="D24" s="87" t="n">
        <v>2</v>
      </c>
      <c r="E24" s="99" t="n">
        <v>1</v>
      </c>
      <c r="F24" s="89" t="s">
        <v>178</v>
      </c>
      <c r="G24" s="100" t="s">
        <v>201</v>
      </c>
    </row>
    <row r="25" s="101" customFormat="true" ht="18" hidden="false" customHeight="true" outlineLevel="0" collapsed="false">
      <c r="A25" s="96" t="n">
        <v>104</v>
      </c>
      <c r="B25" s="97" t="s">
        <v>126</v>
      </c>
      <c r="C25" s="98" t="n">
        <v>43762</v>
      </c>
      <c r="D25" s="87" t="n">
        <v>1</v>
      </c>
      <c r="E25" s="99" t="n">
        <v>1</v>
      </c>
      <c r="F25" s="89" t="s">
        <v>178</v>
      </c>
      <c r="G25" s="100" t="s">
        <v>202</v>
      </c>
    </row>
    <row r="26" s="101" customFormat="true" ht="18" hidden="false" customHeight="true" outlineLevel="0" collapsed="false">
      <c r="A26" s="96" t="n">
        <v>104</v>
      </c>
      <c r="B26" s="97" t="s">
        <v>126</v>
      </c>
      <c r="C26" s="98" t="n">
        <v>43762</v>
      </c>
      <c r="D26" s="87" t="n">
        <v>1</v>
      </c>
      <c r="E26" s="99" t="n">
        <v>1</v>
      </c>
      <c r="F26" s="89" t="s">
        <v>178</v>
      </c>
      <c r="G26" s="100" t="s">
        <v>203</v>
      </c>
    </row>
    <row r="27" s="101" customFormat="true" ht="18" hidden="false" customHeight="true" outlineLevel="0" collapsed="false">
      <c r="A27" s="96" t="n">
        <v>104</v>
      </c>
      <c r="B27" s="97" t="s">
        <v>126</v>
      </c>
      <c r="C27" s="98" t="n">
        <v>43761</v>
      </c>
      <c r="D27" s="87" t="n">
        <v>1</v>
      </c>
      <c r="E27" s="99" t="n">
        <v>1</v>
      </c>
      <c r="F27" s="89" t="s">
        <v>178</v>
      </c>
      <c r="G27" s="100" t="s">
        <v>204</v>
      </c>
    </row>
    <row r="28" s="101" customFormat="true" ht="18" hidden="false" customHeight="true" outlineLevel="0" collapsed="false">
      <c r="A28" s="96" t="n">
        <v>104</v>
      </c>
      <c r="B28" s="97" t="s">
        <v>126</v>
      </c>
      <c r="C28" s="98" t="n">
        <v>43518</v>
      </c>
      <c r="D28" s="87" t="n">
        <v>2</v>
      </c>
      <c r="E28" s="99" t="n">
        <v>1</v>
      </c>
      <c r="F28" s="89" t="s">
        <v>178</v>
      </c>
      <c r="G28" s="100" t="s">
        <v>205</v>
      </c>
    </row>
    <row r="29" s="101" customFormat="true" ht="18" hidden="false" customHeight="true" outlineLevel="0" collapsed="false">
      <c r="A29" s="85" t="n">
        <v>105</v>
      </c>
      <c r="B29" s="97" t="s">
        <v>127</v>
      </c>
      <c r="C29" s="98" t="n">
        <v>43759</v>
      </c>
      <c r="D29" s="87" t="n">
        <v>1</v>
      </c>
      <c r="E29" s="99" t="n">
        <v>1</v>
      </c>
      <c r="F29" s="89" t="s">
        <v>178</v>
      </c>
      <c r="G29" s="100" t="s">
        <v>206</v>
      </c>
    </row>
    <row r="30" s="105" customFormat="true" ht="18" hidden="false" customHeight="true" outlineLevel="0" collapsed="false">
      <c r="A30" s="96" t="n">
        <v>107</v>
      </c>
      <c r="B30" s="102" t="s">
        <v>129</v>
      </c>
      <c r="C30" s="103" t="n">
        <v>43759</v>
      </c>
      <c r="D30" s="87" t="n">
        <v>1</v>
      </c>
      <c r="E30" s="99" t="n">
        <v>1</v>
      </c>
      <c r="F30" s="104" t="s">
        <v>178</v>
      </c>
      <c r="G30" s="100" t="s">
        <v>207</v>
      </c>
    </row>
    <row r="31" s="105" customFormat="true" ht="18" hidden="false" customHeight="true" outlineLevel="0" collapsed="false">
      <c r="A31" s="96" t="n">
        <v>106</v>
      </c>
      <c r="B31" s="102" t="s">
        <v>128</v>
      </c>
      <c r="C31" s="103" t="n">
        <v>43759</v>
      </c>
      <c r="D31" s="87" t="n">
        <v>1</v>
      </c>
      <c r="E31" s="99" t="n">
        <v>1</v>
      </c>
      <c r="F31" s="104" t="s">
        <v>178</v>
      </c>
      <c r="G31" s="100" t="s">
        <v>206</v>
      </c>
    </row>
    <row r="32" s="105" customFormat="true" ht="18" hidden="false" customHeight="true" outlineLevel="0" collapsed="false">
      <c r="A32" s="96" t="n">
        <v>104</v>
      </c>
      <c r="B32" s="102" t="s">
        <v>126</v>
      </c>
      <c r="C32" s="103" t="n">
        <v>43759</v>
      </c>
      <c r="D32" s="87" t="n">
        <v>4</v>
      </c>
      <c r="E32" s="99" t="n">
        <v>1</v>
      </c>
      <c r="F32" s="104" t="s">
        <v>178</v>
      </c>
      <c r="G32" s="100" t="s">
        <v>208</v>
      </c>
    </row>
    <row r="33" s="105" customFormat="true" ht="18" hidden="false" customHeight="true" outlineLevel="0" collapsed="false">
      <c r="A33" s="96" t="n">
        <v>104</v>
      </c>
      <c r="B33" s="102" t="s">
        <v>126</v>
      </c>
      <c r="C33" s="103" t="n">
        <v>43759</v>
      </c>
      <c r="D33" s="87" t="n">
        <v>1</v>
      </c>
      <c r="E33" s="99" t="n">
        <v>1</v>
      </c>
      <c r="F33" s="104" t="s">
        <v>178</v>
      </c>
      <c r="G33" s="100" t="s">
        <v>209</v>
      </c>
    </row>
    <row r="34" s="105" customFormat="true" ht="18" hidden="false" customHeight="true" outlineLevel="0" collapsed="false">
      <c r="A34" s="96" t="n">
        <v>104</v>
      </c>
      <c r="B34" s="102" t="s">
        <v>126</v>
      </c>
      <c r="C34" s="103" t="n">
        <v>43756</v>
      </c>
      <c r="D34" s="87" t="n">
        <v>1</v>
      </c>
      <c r="E34" s="99" t="n">
        <v>1</v>
      </c>
      <c r="F34" s="104" t="s">
        <v>178</v>
      </c>
      <c r="G34" s="100" t="s">
        <v>210</v>
      </c>
    </row>
    <row r="35" s="105" customFormat="true" ht="18" hidden="false" customHeight="true" outlineLevel="0" collapsed="false">
      <c r="A35" s="96" t="n">
        <v>104</v>
      </c>
      <c r="B35" s="102" t="s">
        <v>126</v>
      </c>
      <c r="C35" s="103" t="n">
        <v>43755</v>
      </c>
      <c r="D35" s="87" t="n">
        <v>2</v>
      </c>
      <c r="E35" s="99" t="n">
        <v>1</v>
      </c>
      <c r="F35" s="104" t="s">
        <v>178</v>
      </c>
      <c r="G35" s="100" t="s">
        <v>211</v>
      </c>
    </row>
    <row r="36" s="105" customFormat="true" ht="18" hidden="false" customHeight="true" outlineLevel="0" collapsed="false">
      <c r="A36" s="96" t="n">
        <v>104</v>
      </c>
      <c r="B36" s="102" t="s">
        <v>126</v>
      </c>
      <c r="C36" s="103" t="n">
        <v>43754</v>
      </c>
      <c r="D36" s="87" t="n">
        <v>1</v>
      </c>
      <c r="E36" s="99" t="n">
        <v>1</v>
      </c>
      <c r="F36" s="104" t="s">
        <v>178</v>
      </c>
      <c r="G36" s="100" t="s">
        <v>212</v>
      </c>
    </row>
    <row r="37" s="105" customFormat="true" ht="18" hidden="false" customHeight="true" outlineLevel="0" collapsed="false">
      <c r="A37" s="96" t="n">
        <v>104</v>
      </c>
      <c r="B37" s="102" t="s">
        <v>126</v>
      </c>
      <c r="C37" s="103" t="n">
        <v>43754</v>
      </c>
      <c r="D37" s="87" t="n">
        <v>1</v>
      </c>
      <c r="E37" s="99" t="n">
        <v>1</v>
      </c>
      <c r="F37" s="104" t="s">
        <v>178</v>
      </c>
      <c r="G37" s="100" t="s">
        <v>213</v>
      </c>
    </row>
    <row r="38" s="105" customFormat="true" ht="18" hidden="false" customHeight="true" outlineLevel="0" collapsed="false">
      <c r="A38" s="96" t="n">
        <v>104</v>
      </c>
      <c r="B38" s="102" t="s">
        <v>126</v>
      </c>
      <c r="C38" s="103" t="n">
        <v>43754</v>
      </c>
      <c r="D38" s="87" t="n">
        <v>1</v>
      </c>
      <c r="E38" s="99" t="n">
        <v>1</v>
      </c>
      <c r="F38" s="104" t="s">
        <v>178</v>
      </c>
      <c r="G38" s="100" t="s">
        <v>214</v>
      </c>
    </row>
    <row r="39" s="105" customFormat="true" ht="18" hidden="false" customHeight="true" outlineLevel="0" collapsed="false">
      <c r="A39" s="96" t="n">
        <v>104</v>
      </c>
      <c r="B39" s="102" t="s">
        <v>126</v>
      </c>
      <c r="C39" s="103" t="n">
        <v>43754</v>
      </c>
      <c r="D39" s="87" t="n">
        <v>1</v>
      </c>
      <c r="E39" s="99" t="n">
        <v>1</v>
      </c>
      <c r="F39" s="104" t="s">
        <v>178</v>
      </c>
      <c r="G39" s="100" t="s">
        <v>215</v>
      </c>
    </row>
    <row r="40" s="105" customFormat="true" ht="18" hidden="false" customHeight="true" outlineLevel="0" collapsed="false">
      <c r="A40" s="96" t="n">
        <v>104</v>
      </c>
      <c r="B40" s="102" t="s">
        <v>126</v>
      </c>
      <c r="C40" s="103" t="n">
        <v>43753</v>
      </c>
      <c r="D40" s="87" t="n">
        <v>1</v>
      </c>
      <c r="E40" s="99" t="n">
        <v>1</v>
      </c>
      <c r="F40" s="104" t="s">
        <v>178</v>
      </c>
      <c r="G40" s="100" t="s">
        <v>216</v>
      </c>
    </row>
    <row r="41" s="105" customFormat="true" ht="18" hidden="false" customHeight="true" outlineLevel="0" collapsed="false">
      <c r="A41" s="96" t="n">
        <v>104</v>
      </c>
      <c r="B41" s="102" t="s">
        <v>126</v>
      </c>
      <c r="C41" s="103" t="n">
        <v>43753</v>
      </c>
      <c r="D41" s="87" t="n">
        <v>1</v>
      </c>
      <c r="E41" s="99" t="n">
        <v>1</v>
      </c>
      <c r="F41" s="104" t="s">
        <v>178</v>
      </c>
      <c r="G41" s="100" t="s">
        <v>217</v>
      </c>
    </row>
    <row r="42" s="105" customFormat="true" ht="18" hidden="false" customHeight="true" outlineLevel="0" collapsed="false">
      <c r="A42" s="96" t="n">
        <v>104</v>
      </c>
      <c r="B42" s="102" t="s">
        <v>126</v>
      </c>
      <c r="C42" s="103" t="n">
        <v>43752</v>
      </c>
      <c r="D42" s="87" t="n">
        <v>1</v>
      </c>
      <c r="E42" s="99" t="n">
        <v>1</v>
      </c>
      <c r="F42" s="104" t="s">
        <v>178</v>
      </c>
      <c r="G42" s="100" t="s">
        <v>218</v>
      </c>
    </row>
    <row r="43" s="105" customFormat="true" ht="18" hidden="false" customHeight="true" outlineLevel="0" collapsed="false">
      <c r="A43" s="96" t="n">
        <v>104</v>
      </c>
      <c r="B43" s="102" t="s">
        <v>126</v>
      </c>
      <c r="C43" s="103" t="n">
        <v>43752</v>
      </c>
      <c r="D43" s="87" t="n">
        <v>1</v>
      </c>
      <c r="E43" s="99" t="n">
        <v>1</v>
      </c>
      <c r="F43" s="104" t="s">
        <v>178</v>
      </c>
      <c r="G43" s="100" t="s">
        <v>219</v>
      </c>
    </row>
    <row r="44" s="105" customFormat="true" ht="18" hidden="false" customHeight="true" outlineLevel="0" collapsed="false">
      <c r="A44" s="96" t="n">
        <v>104</v>
      </c>
      <c r="B44" s="102" t="s">
        <v>126</v>
      </c>
      <c r="C44" s="103" t="n">
        <v>43752</v>
      </c>
      <c r="D44" s="87" t="n">
        <v>1</v>
      </c>
      <c r="E44" s="99" t="n">
        <v>1</v>
      </c>
      <c r="F44" s="104" t="s">
        <v>178</v>
      </c>
      <c r="G44" s="100" t="s">
        <v>220</v>
      </c>
    </row>
    <row r="45" s="105" customFormat="true" ht="18" hidden="false" customHeight="true" outlineLevel="0" collapsed="false">
      <c r="A45" s="96" t="n">
        <v>104</v>
      </c>
      <c r="B45" s="102" t="s">
        <v>126</v>
      </c>
      <c r="C45" s="103" t="n">
        <v>43748</v>
      </c>
      <c r="D45" s="87" t="n">
        <v>1</v>
      </c>
      <c r="E45" s="99" t="n">
        <v>1</v>
      </c>
      <c r="F45" s="104" t="s">
        <v>178</v>
      </c>
      <c r="G45" s="100" t="s">
        <v>221</v>
      </c>
    </row>
    <row r="46" s="105" customFormat="true" ht="18" hidden="false" customHeight="true" outlineLevel="0" collapsed="false">
      <c r="A46" s="96" t="n">
        <v>104</v>
      </c>
      <c r="B46" s="102" t="s">
        <v>126</v>
      </c>
      <c r="C46" s="103" t="n">
        <v>43748</v>
      </c>
      <c r="D46" s="87" t="n">
        <v>1</v>
      </c>
      <c r="E46" s="99" t="n">
        <v>1</v>
      </c>
      <c r="F46" s="104" t="s">
        <v>178</v>
      </c>
      <c r="G46" s="100" t="s">
        <v>222</v>
      </c>
    </row>
    <row r="47" s="105" customFormat="true" ht="18" hidden="false" customHeight="true" outlineLevel="0" collapsed="false">
      <c r="A47" s="96" t="n">
        <v>104</v>
      </c>
      <c r="B47" s="102" t="s">
        <v>126</v>
      </c>
      <c r="C47" s="103" t="n">
        <v>43745</v>
      </c>
      <c r="D47" s="87" t="n">
        <v>1</v>
      </c>
      <c r="E47" s="99" t="n">
        <v>1</v>
      </c>
      <c r="F47" s="104" t="s">
        <v>178</v>
      </c>
      <c r="G47" s="100" t="s">
        <v>223</v>
      </c>
    </row>
    <row r="48" s="105" customFormat="true" ht="18" hidden="false" customHeight="true" outlineLevel="0" collapsed="false">
      <c r="A48" s="96" t="n">
        <v>104</v>
      </c>
      <c r="B48" s="102" t="s">
        <v>126</v>
      </c>
      <c r="C48" s="103" t="n">
        <v>43741</v>
      </c>
      <c r="D48" s="87" t="n">
        <v>1</v>
      </c>
      <c r="E48" s="99" t="n">
        <v>1</v>
      </c>
      <c r="F48" s="104" t="s">
        <v>178</v>
      </c>
      <c r="G48" s="100" t="s">
        <v>224</v>
      </c>
    </row>
    <row r="49" s="105" customFormat="true" ht="18" hidden="false" customHeight="true" outlineLevel="0" collapsed="false">
      <c r="A49" s="96" t="n">
        <v>104</v>
      </c>
      <c r="B49" s="102" t="s">
        <v>126</v>
      </c>
      <c r="C49" s="103" t="n">
        <v>43738</v>
      </c>
      <c r="D49" s="87" t="n">
        <v>1</v>
      </c>
      <c r="E49" s="99" t="n">
        <v>1</v>
      </c>
      <c r="F49" s="104" t="s">
        <v>178</v>
      </c>
      <c r="G49" s="100" t="s">
        <v>225</v>
      </c>
    </row>
    <row r="50" s="105" customFormat="true" ht="18" hidden="false" customHeight="true" outlineLevel="0" collapsed="false">
      <c r="A50" s="96" t="n">
        <v>104</v>
      </c>
      <c r="B50" s="102" t="s">
        <v>126</v>
      </c>
      <c r="C50" s="103" t="n">
        <v>43737</v>
      </c>
      <c r="D50" s="87" t="n">
        <v>1</v>
      </c>
      <c r="E50" s="99" t="n">
        <v>1</v>
      </c>
      <c r="F50" s="104" t="s">
        <v>178</v>
      </c>
      <c r="G50" s="100" t="s">
        <v>226</v>
      </c>
    </row>
    <row r="51" s="105" customFormat="true" ht="18" hidden="false" customHeight="true" outlineLevel="0" collapsed="false">
      <c r="A51" s="96" t="n">
        <v>104</v>
      </c>
      <c r="B51" s="102" t="s">
        <v>126</v>
      </c>
      <c r="C51" s="103" t="n">
        <v>43737</v>
      </c>
      <c r="D51" s="87" t="n">
        <v>1</v>
      </c>
      <c r="E51" s="99" t="n">
        <v>1</v>
      </c>
      <c r="F51" s="104" t="s">
        <v>178</v>
      </c>
      <c r="G51" s="100" t="s">
        <v>227</v>
      </c>
    </row>
    <row r="52" s="105" customFormat="true" ht="18" hidden="false" customHeight="true" outlineLevel="0" collapsed="false">
      <c r="A52" s="96" t="n">
        <v>104</v>
      </c>
      <c r="B52" s="102" t="s">
        <v>126</v>
      </c>
      <c r="C52" s="103" t="n">
        <v>43737</v>
      </c>
      <c r="D52" s="87" t="n">
        <v>1</v>
      </c>
      <c r="E52" s="99" t="n">
        <v>1</v>
      </c>
      <c r="F52" s="104" t="s">
        <v>178</v>
      </c>
      <c r="G52" s="100" t="s">
        <v>228</v>
      </c>
    </row>
    <row r="53" s="105" customFormat="true" ht="18" hidden="false" customHeight="true" outlineLevel="0" collapsed="false">
      <c r="A53" s="96" t="n">
        <v>104</v>
      </c>
      <c r="B53" s="102" t="s">
        <v>126</v>
      </c>
      <c r="C53" s="103" t="n">
        <v>43734</v>
      </c>
      <c r="D53" s="87" t="n">
        <v>1</v>
      </c>
      <c r="E53" s="99" t="n">
        <v>1</v>
      </c>
      <c r="F53" s="104" t="s">
        <v>178</v>
      </c>
      <c r="G53" s="100" t="s">
        <v>229</v>
      </c>
    </row>
    <row r="54" s="105" customFormat="true" ht="18" hidden="false" customHeight="true" outlineLevel="0" collapsed="false">
      <c r="A54" s="96" t="n">
        <v>104</v>
      </c>
      <c r="B54" s="102" t="s">
        <v>126</v>
      </c>
      <c r="C54" s="103" t="n">
        <v>43733</v>
      </c>
      <c r="D54" s="87" t="n">
        <v>1</v>
      </c>
      <c r="E54" s="99" t="n">
        <v>1</v>
      </c>
      <c r="F54" s="104" t="s">
        <v>178</v>
      </c>
      <c r="G54" s="100" t="s">
        <v>230</v>
      </c>
    </row>
    <row r="55" s="105" customFormat="true" ht="18" hidden="false" customHeight="true" outlineLevel="0" collapsed="false">
      <c r="A55" s="96" t="n">
        <v>104</v>
      </c>
      <c r="B55" s="102" t="s">
        <v>126</v>
      </c>
      <c r="C55" s="103" t="n">
        <v>43731</v>
      </c>
      <c r="D55" s="87" t="n">
        <v>1</v>
      </c>
      <c r="E55" s="99" t="n">
        <v>1</v>
      </c>
      <c r="F55" s="104" t="s">
        <v>178</v>
      </c>
      <c r="G55" s="100" t="s">
        <v>231</v>
      </c>
    </row>
    <row r="56" s="105" customFormat="true" ht="18" hidden="false" customHeight="true" outlineLevel="0" collapsed="false">
      <c r="A56" s="96" t="n">
        <v>104</v>
      </c>
      <c r="B56" s="102" t="s">
        <v>126</v>
      </c>
      <c r="C56" s="103" t="n">
        <v>43731</v>
      </c>
      <c r="D56" s="87" t="n">
        <v>1</v>
      </c>
      <c r="E56" s="99" t="n">
        <v>1</v>
      </c>
      <c r="F56" s="104" t="s">
        <v>178</v>
      </c>
      <c r="G56" s="100" t="s">
        <v>232</v>
      </c>
    </row>
    <row r="57" s="105" customFormat="true" ht="18" hidden="false" customHeight="true" outlineLevel="0" collapsed="false">
      <c r="A57" s="96" t="n">
        <v>104</v>
      </c>
      <c r="B57" s="102" t="s">
        <v>126</v>
      </c>
      <c r="C57" s="103" t="n">
        <v>43731</v>
      </c>
      <c r="D57" s="87" t="n">
        <v>1</v>
      </c>
      <c r="E57" s="99" t="n">
        <v>1</v>
      </c>
      <c r="F57" s="104" t="s">
        <v>178</v>
      </c>
      <c r="G57" s="100" t="s">
        <v>232</v>
      </c>
    </row>
    <row r="58" s="105" customFormat="true" ht="18" hidden="false" customHeight="true" outlineLevel="0" collapsed="false">
      <c r="A58" s="96" t="n">
        <v>150</v>
      </c>
      <c r="B58" s="102" t="s">
        <v>172</v>
      </c>
      <c r="C58" s="103" t="n">
        <v>43727</v>
      </c>
      <c r="D58" s="87" t="n">
        <v>1</v>
      </c>
      <c r="E58" s="99" t="n">
        <v>1</v>
      </c>
      <c r="F58" s="104" t="s">
        <v>178</v>
      </c>
      <c r="G58" s="100" t="s">
        <v>233</v>
      </c>
    </row>
    <row r="59" s="105" customFormat="true" ht="18" hidden="false" customHeight="true" outlineLevel="0" collapsed="false">
      <c r="A59" s="96" t="n">
        <v>104</v>
      </c>
      <c r="B59" s="102" t="s">
        <v>126</v>
      </c>
      <c r="C59" s="103" t="n">
        <v>43727</v>
      </c>
      <c r="D59" s="87" t="n">
        <v>1</v>
      </c>
      <c r="E59" s="99" t="n">
        <v>1</v>
      </c>
      <c r="F59" s="104" t="s">
        <v>178</v>
      </c>
      <c r="G59" s="100" t="s">
        <v>234</v>
      </c>
    </row>
    <row r="60" s="105" customFormat="true" ht="18" hidden="false" customHeight="true" outlineLevel="0" collapsed="false">
      <c r="A60" s="96" t="n">
        <v>104</v>
      </c>
      <c r="B60" s="102" t="s">
        <v>126</v>
      </c>
      <c r="C60" s="103" t="n">
        <v>43727</v>
      </c>
      <c r="D60" s="87" t="n">
        <v>1</v>
      </c>
      <c r="E60" s="99" t="n">
        <v>1</v>
      </c>
      <c r="F60" s="104" t="s">
        <v>178</v>
      </c>
      <c r="G60" s="100" t="s">
        <v>235</v>
      </c>
    </row>
    <row r="61" s="105" customFormat="true" ht="18" hidden="false" customHeight="true" outlineLevel="0" collapsed="false">
      <c r="A61" s="96" t="n">
        <v>104</v>
      </c>
      <c r="B61" s="102" t="s">
        <v>126</v>
      </c>
      <c r="C61" s="103" t="n">
        <v>43727</v>
      </c>
      <c r="D61" s="87" t="n">
        <v>1</v>
      </c>
      <c r="E61" s="99" t="n">
        <v>1</v>
      </c>
      <c r="F61" s="104" t="s">
        <v>178</v>
      </c>
      <c r="G61" s="100" t="s">
        <v>236</v>
      </c>
    </row>
    <row r="62" s="105" customFormat="true" ht="18" hidden="false" customHeight="true" outlineLevel="0" collapsed="false">
      <c r="A62" s="96" t="n">
        <v>104</v>
      </c>
      <c r="B62" s="102" t="s">
        <v>126</v>
      </c>
      <c r="C62" s="103" t="n">
        <v>43723</v>
      </c>
      <c r="D62" s="87" t="n">
        <v>1</v>
      </c>
      <c r="E62" s="99" t="n">
        <v>1</v>
      </c>
      <c r="F62" s="104" t="s">
        <v>178</v>
      </c>
      <c r="G62" s="100" t="s">
        <v>237</v>
      </c>
    </row>
    <row r="63" s="105" customFormat="true" ht="18" hidden="false" customHeight="true" outlineLevel="0" collapsed="false">
      <c r="A63" s="96" t="n">
        <v>104</v>
      </c>
      <c r="B63" s="102" t="s">
        <v>126</v>
      </c>
      <c r="C63" s="103" t="n">
        <v>43723</v>
      </c>
      <c r="D63" s="87" t="n">
        <v>1</v>
      </c>
      <c r="E63" s="99" t="n">
        <v>1</v>
      </c>
      <c r="F63" s="104" t="s">
        <v>178</v>
      </c>
      <c r="G63" s="100" t="s">
        <v>238</v>
      </c>
    </row>
    <row r="64" s="105" customFormat="true" ht="18" hidden="false" customHeight="true" outlineLevel="0" collapsed="false">
      <c r="A64" s="96" t="n">
        <v>136</v>
      </c>
      <c r="B64" s="102" t="s">
        <v>158</v>
      </c>
      <c r="C64" s="103" t="n">
        <v>43722</v>
      </c>
      <c r="D64" s="87" t="n">
        <v>1</v>
      </c>
      <c r="E64" s="99" t="n">
        <v>1</v>
      </c>
      <c r="F64" s="104" t="s">
        <v>178</v>
      </c>
      <c r="G64" s="100" t="s">
        <v>239</v>
      </c>
    </row>
    <row r="65" s="105" customFormat="true" ht="18" hidden="false" customHeight="true" outlineLevel="0" collapsed="false">
      <c r="A65" s="96" t="n">
        <v>134</v>
      </c>
      <c r="B65" s="102" t="s">
        <v>156</v>
      </c>
      <c r="C65" s="103" t="n">
        <v>43722</v>
      </c>
      <c r="D65" s="87" t="n">
        <v>1</v>
      </c>
      <c r="E65" s="99" t="n">
        <v>1</v>
      </c>
      <c r="F65" s="104" t="s">
        <v>178</v>
      </c>
      <c r="G65" s="100" t="s">
        <v>239</v>
      </c>
    </row>
    <row r="66" s="105" customFormat="true" ht="18" hidden="false" customHeight="true" outlineLevel="0" collapsed="false">
      <c r="A66" s="96" t="n">
        <v>104</v>
      </c>
      <c r="B66" s="102" t="s">
        <v>126</v>
      </c>
      <c r="C66" s="103" t="n">
        <v>43720</v>
      </c>
      <c r="D66" s="87" t="n">
        <v>1</v>
      </c>
      <c r="E66" s="99" t="n">
        <v>1</v>
      </c>
      <c r="F66" s="104" t="s">
        <v>178</v>
      </c>
      <c r="G66" s="100" t="s">
        <v>240</v>
      </c>
    </row>
    <row r="67" s="105" customFormat="true" ht="18" hidden="false" customHeight="true" outlineLevel="0" collapsed="false">
      <c r="A67" s="96" t="n">
        <v>104</v>
      </c>
      <c r="B67" s="102" t="s">
        <v>126</v>
      </c>
      <c r="C67" s="103" t="n">
        <v>43715</v>
      </c>
      <c r="D67" s="87" t="n">
        <v>1</v>
      </c>
      <c r="E67" s="99" t="n">
        <v>1</v>
      </c>
      <c r="F67" s="104" t="s">
        <v>178</v>
      </c>
      <c r="G67" s="100" t="s">
        <v>241</v>
      </c>
    </row>
    <row r="68" s="105" customFormat="true" ht="18" hidden="false" customHeight="true" outlineLevel="0" collapsed="false">
      <c r="A68" s="96" t="n">
        <v>104</v>
      </c>
      <c r="B68" s="102" t="s">
        <v>126</v>
      </c>
      <c r="C68" s="103" t="n">
        <v>43715</v>
      </c>
      <c r="D68" s="87" t="n">
        <v>1</v>
      </c>
      <c r="E68" s="99" t="n">
        <v>1</v>
      </c>
      <c r="F68" s="104" t="s">
        <v>178</v>
      </c>
      <c r="G68" s="100" t="s">
        <v>242</v>
      </c>
    </row>
    <row r="69" s="105" customFormat="true" ht="18" hidden="false" customHeight="true" outlineLevel="0" collapsed="false">
      <c r="A69" s="96" t="n">
        <v>104</v>
      </c>
      <c r="B69" s="102" t="s">
        <v>126</v>
      </c>
      <c r="C69" s="103" t="n">
        <v>43715</v>
      </c>
      <c r="D69" s="87" t="n">
        <v>1</v>
      </c>
      <c r="E69" s="99" t="n">
        <v>1</v>
      </c>
      <c r="F69" s="104" t="s">
        <v>178</v>
      </c>
      <c r="G69" s="100" t="s">
        <v>243</v>
      </c>
    </row>
    <row r="70" s="105" customFormat="true" ht="18" hidden="false" customHeight="true" outlineLevel="0" collapsed="false">
      <c r="A70" s="96" t="n">
        <v>104</v>
      </c>
      <c r="B70" s="102" t="s">
        <v>126</v>
      </c>
      <c r="C70" s="103" t="n">
        <v>43713</v>
      </c>
      <c r="D70" s="87" t="n">
        <v>1</v>
      </c>
      <c r="E70" s="99" t="n">
        <v>1</v>
      </c>
      <c r="F70" s="104" t="s">
        <v>178</v>
      </c>
      <c r="G70" s="100" t="s">
        <v>244</v>
      </c>
    </row>
    <row r="71" s="105" customFormat="true" ht="18" hidden="false" customHeight="true" outlineLevel="0" collapsed="false">
      <c r="A71" s="96" t="n">
        <v>104</v>
      </c>
      <c r="B71" s="102" t="s">
        <v>126</v>
      </c>
      <c r="C71" s="103" t="n">
        <v>43710</v>
      </c>
      <c r="D71" s="87" t="n">
        <v>1</v>
      </c>
      <c r="E71" s="99" t="n">
        <v>1</v>
      </c>
      <c r="F71" s="104" t="s">
        <v>178</v>
      </c>
      <c r="G71" s="100" t="s">
        <v>245</v>
      </c>
    </row>
    <row r="72" s="105" customFormat="true" ht="18" hidden="false" customHeight="true" outlineLevel="0" collapsed="false">
      <c r="A72" s="96" t="n">
        <v>104</v>
      </c>
      <c r="B72" s="102" t="s">
        <v>126</v>
      </c>
      <c r="C72" s="103" t="n">
        <v>43710</v>
      </c>
      <c r="D72" s="87" t="n">
        <v>1</v>
      </c>
      <c r="E72" s="99" t="n">
        <v>1</v>
      </c>
      <c r="F72" s="104" t="s">
        <v>178</v>
      </c>
      <c r="G72" s="100" t="s">
        <v>246</v>
      </c>
    </row>
    <row r="73" s="105" customFormat="true" ht="18" hidden="false" customHeight="true" outlineLevel="0" collapsed="false">
      <c r="A73" s="96" t="n">
        <v>104</v>
      </c>
      <c r="B73" s="102" t="s">
        <v>126</v>
      </c>
      <c r="C73" s="103" t="n">
        <v>43709</v>
      </c>
      <c r="D73" s="87" t="n">
        <v>1</v>
      </c>
      <c r="E73" s="99" t="n">
        <v>1</v>
      </c>
      <c r="F73" s="104" t="s">
        <v>178</v>
      </c>
      <c r="G73" s="100" t="s">
        <v>247</v>
      </c>
    </row>
    <row r="74" s="105" customFormat="true" ht="18" hidden="false" customHeight="true" outlineLevel="0" collapsed="false">
      <c r="A74" s="96" t="n">
        <v>107</v>
      </c>
      <c r="B74" s="102" t="s">
        <v>248</v>
      </c>
      <c r="C74" s="103" t="n">
        <v>43703</v>
      </c>
      <c r="D74" s="87" t="n">
        <v>1</v>
      </c>
      <c r="E74" s="99" t="n">
        <v>1</v>
      </c>
      <c r="F74" s="104" t="s">
        <v>178</v>
      </c>
      <c r="G74" s="100" t="s">
        <v>249</v>
      </c>
    </row>
    <row r="75" s="105" customFormat="true" ht="18" hidden="false" customHeight="true" outlineLevel="0" collapsed="false">
      <c r="A75" s="96" t="n">
        <v>104</v>
      </c>
      <c r="B75" s="102" t="s">
        <v>126</v>
      </c>
      <c r="C75" s="103" t="n">
        <v>43703</v>
      </c>
      <c r="D75" s="87" t="n">
        <v>1</v>
      </c>
      <c r="E75" s="99" t="n">
        <v>1</v>
      </c>
      <c r="F75" s="104" t="s">
        <v>178</v>
      </c>
      <c r="G75" s="100" t="s">
        <v>250</v>
      </c>
    </row>
    <row r="76" s="105" customFormat="true" ht="18" hidden="false" customHeight="true" outlineLevel="0" collapsed="false">
      <c r="A76" s="96" t="n">
        <v>104</v>
      </c>
      <c r="B76" s="102" t="s">
        <v>126</v>
      </c>
      <c r="C76" s="103" t="n">
        <v>43703</v>
      </c>
      <c r="D76" s="87" t="n">
        <v>1</v>
      </c>
      <c r="E76" s="99" t="n">
        <v>1</v>
      </c>
      <c r="F76" s="104" t="s">
        <v>178</v>
      </c>
      <c r="G76" s="100" t="s">
        <v>251</v>
      </c>
    </row>
    <row r="77" s="105" customFormat="true" ht="18" hidden="false" customHeight="true" outlineLevel="0" collapsed="false">
      <c r="A77" s="96" t="n">
        <v>104</v>
      </c>
      <c r="B77" s="102" t="s">
        <v>126</v>
      </c>
      <c r="C77" s="103" t="n">
        <v>43703</v>
      </c>
      <c r="D77" s="87" t="n">
        <v>1</v>
      </c>
      <c r="E77" s="99" t="n">
        <v>1</v>
      </c>
      <c r="F77" s="104" t="s">
        <v>178</v>
      </c>
      <c r="G77" s="100" t="s">
        <v>252</v>
      </c>
    </row>
    <row r="78" s="105" customFormat="true" ht="18" hidden="false" customHeight="true" outlineLevel="0" collapsed="false">
      <c r="A78" s="96" t="n">
        <v>104</v>
      </c>
      <c r="B78" s="102" t="s">
        <v>126</v>
      </c>
      <c r="C78" s="103" t="n">
        <v>43702</v>
      </c>
      <c r="D78" s="87" t="n">
        <v>1</v>
      </c>
      <c r="E78" s="99" t="n">
        <v>1</v>
      </c>
      <c r="F78" s="104" t="s">
        <v>178</v>
      </c>
      <c r="G78" s="57" t="s">
        <v>253</v>
      </c>
    </row>
    <row r="79" s="105" customFormat="true" ht="18" hidden="false" customHeight="true" outlineLevel="0" collapsed="false">
      <c r="A79" s="96" t="n">
        <v>104</v>
      </c>
      <c r="B79" s="102" t="s">
        <v>126</v>
      </c>
      <c r="C79" s="103" t="n">
        <v>43702</v>
      </c>
      <c r="D79" s="87" t="n">
        <v>1</v>
      </c>
      <c r="E79" s="99" t="n">
        <v>1</v>
      </c>
      <c r="F79" s="104" t="s">
        <v>178</v>
      </c>
      <c r="G79" s="57" t="s">
        <v>254</v>
      </c>
    </row>
    <row r="80" s="105" customFormat="true" ht="18" hidden="false" customHeight="true" outlineLevel="0" collapsed="false">
      <c r="A80" s="96" t="n">
        <v>104</v>
      </c>
      <c r="B80" s="102" t="s">
        <v>126</v>
      </c>
      <c r="C80" s="103" t="n">
        <v>43701</v>
      </c>
      <c r="D80" s="87" t="n">
        <v>1</v>
      </c>
      <c r="E80" s="99" t="n">
        <v>1</v>
      </c>
      <c r="F80" s="104" t="s">
        <v>178</v>
      </c>
      <c r="G80" s="57" t="s">
        <v>255</v>
      </c>
    </row>
    <row r="81" s="105" customFormat="true" ht="18" hidden="false" customHeight="true" outlineLevel="0" collapsed="false">
      <c r="A81" s="96" t="n">
        <v>108</v>
      </c>
      <c r="B81" s="102" t="s">
        <v>130</v>
      </c>
      <c r="C81" s="103" t="n">
        <v>43700</v>
      </c>
      <c r="D81" s="87" t="n">
        <v>1</v>
      </c>
      <c r="E81" s="99" t="n">
        <v>1</v>
      </c>
      <c r="F81" s="104" t="s">
        <v>178</v>
      </c>
      <c r="G81" s="57" t="s">
        <v>256</v>
      </c>
    </row>
    <row r="82" s="105" customFormat="true" ht="18" hidden="false" customHeight="true" outlineLevel="0" collapsed="false">
      <c r="A82" s="96" t="n">
        <v>104</v>
      </c>
      <c r="B82" s="102" t="s">
        <v>126</v>
      </c>
      <c r="C82" s="103" t="n">
        <v>43697</v>
      </c>
      <c r="D82" s="87" t="n">
        <v>1</v>
      </c>
      <c r="E82" s="99" t="n">
        <v>1</v>
      </c>
      <c r="F82" s="104" t="s">
        <v>178</v>
      </c>
      <c r="G82" s="106" t="s">
        <v>257</v>
      </c>
    </row>
    <row r="83" s="105" customFormat="true" ht="18" hidden="false" customHeight="true" outlineLevel="0" collapsed="false">
      <c r="A83" s="96" t="n">
        <v>104</v>
      </c>
      <c r="B83" s="102" t="s">
        <v>126</v>
      </c>
      <c r="C83" s="103" t="n">
        <v>43696</v>
      </c>
      <c r="D83" s="87" t="n">
        <v>1</v>
      </c>
      <c r="E83" s="99" t="n">
        <v>1</v>
      </c>
      <c r="F83" s="104" t="s">
        <v>178</v>
      </c>
      <c r="G83" s="106" t="s">
        <v>258</v>
      </c>
    </row>
    <row r="84" s="105" customFormat="true" ht="18" hidden="false" customHeight="true" outlineLevel="0" collapsed="false">
      <c r="A84" s="96" t="n">
        <v>104</v>
      </c>
      <c r="B84" s="102" t="s">
        <v>126</v>
      </c>
      <c r="C84" s="103" t="n">
        <v>43696</v>
      </c>
      <c r="D84" s="87" t="n">
        <v>1</v>
      </c>
      <c r="E84" s="99" t="n">
        <v>1</v>
      </c>
      <c r="F84" s="104" t="s">
        <v>178</v>
      </c>
      <c r="G84" s="106" t="s">
        <v>259</v>
      </c>
    </row>
    <row r="85" s="105" customFormat="true" ht="18" hidden="false" customHeight="true" outlineLevel="0" collapsed="false">
      <c r="A85" s="96" t="n">
        <v>105</v>
      </c>
      <c r="B85" s="102" t="s">
        <v>127</v>
      </c>
      <c r="C85" s="103" t="n">
        <v>43696</v>
      </c>
      <c r="D85" s="87" t="n">
        <v>1</v>
      </c>
      <c r="E85" s="99" t="n">
        <v>1</v>
      </c>
      <c r="F85" s="104" t="s">
        <v>178</v>
      </c>
      <c r="G85" s="106" t="s">
        <v>260</v>
      </c>
    </row>
    <row r="86" s="105" customFormat="true" ht="18" hidden="false" customHeight="true" outlineLevel="0" collapsed="false">
      <c r="A86" s="96" t="n">
        <v>104</v>
      </c>
      <c r="B86" s="102" t="s">
        <v>126</v>
      </c>
      <c r="C86" s="103" t="n">
        <v>43694</v>
      </c>
      <c r="D86" s="87" t="n">
        <v>1</v>
      </c>
      <c r="E86" s="99" t="n">
        <v>1</v>
      </c>
      <c r="F86" s="104" t="s">
        <v>178</v>
      </c>
      <c r="G86" s="106" t="s">
        <v>261</v>
      </c>
    </row>
    <row r="87" s="105" customFormat="true" ht="18" hidden="false" customHeight="true" outlineLevel="0" collapsed="false">
      <c r="A87" s="96" t="n">
        <v>104</v>
      </c>
      <c r="B87" s="102" t="s">
        <v>126</v>
      </c>
      <c r="C87" s="103" t="n">
        <v>43693</v>
      </c>
      <c r="D87" s="87" t="n">
        <v>1</v>
      </c>
      <c r="E87" s="99" t="n">
        <v>1</v>
      </c>
      <c r="F87" s="104" t="s">
        <v>178</v>
      </c>
      <c r="G87" s="106" t="s">
        <v>262</v>
      </c>
    </row>
    <row r="88" s="105" customFormat="true" ht="18" hidden="false" customHeight="true" outlineLevel="0" collapsed="false">
      <c r="A88" s="96" t="n">
        <v>136</v>
      </c>
      <c r="B88" s="102" t="s">
        <v>158</v>
      </c>
      <c r="C88" s="103" t="n">
        <v>43692</v>
      </c>
      <c r="D88" s="87" t="n">
        <v>1</v>
      </c>
      <c r="E88" s="99" t="n">
        <v>1</v>
      </c>
      <c r="F88" s="104" t="s">
        <v>178</v>
      </c>
      <c r="G88" s="106" t="s">
        <v>263</v>
      </c>
    </row>
    <row r="89" s="105" customFormat="true" ht="18" hidden="false" customHeight="true" outlineLevel="0" collapsed="false">
      <c r="A89" s="96" t="n">
        <v>104</v>
      </c>
      <c r="B89" s="102" t="s">
        <v>126</v>
      </c>
      <c r="C89" s="103" t="n">
        <v>43692</v>
      </c>
      <c r="D89" s="87" t="n">
        <v>1</v>
      </c>
      <c r="E89" s="99" t="n">
        <v>1</v>
      </c>
      <c r="F89" s="104" t="s">
        <v>178</v>
      </c>
      <c r="G89" s="106" t="s">
        <v>264</v>
      </c>
    </row>
    <row r="90" s="105" customFormat="true" ht="18" hidden="false" customHeight="true" outlineLevel="0" collapsed="false">
      <c r="A90" s="96" t="n">
        <v>104</v>
      </c>
      <c r="B90" s="102" t="s">
        <v>126</v>
      </c>
      <c r="C90" s="103" t="n">
        <v>43691</v>
      </c>
      <c r="D90" s="87" t="n">
        <v>1</v>
      </c>
      <c r="E90" s="99" t="n">
        <v>1</v>
      </c>
      <c r="F90" s="104" t="s">
        <v>14</v>
      </c>
      <c r="G90" s="106" t="s">
        <v>265</v>
      </c>
    </row>
    <row r="91" s="105" customFormat="true" ht="18" hidden="false" customHeight="true" outlineLevel="0" collapsed="false">
      <c r="A91" s="96" t="n">
        <v>104</v>
      </c>
      <c r="B91" s="102" t="s">
        <v>126</v>
      </c>
      <c r="C91" s="103" t="n">
        <v>43691</v>
      </c>
      <c r="D91" s="87" t="n">
        <v>1</v>
      </c>
      <c r="E91" s="99" t="n">
        <v>1</v>
      </c>
      <c r="F91" s="104" t="s">
        <v>178</v>
      </c>
      <c r="G91" s="106" t="s">
        <v>266</v>
      </c>
    </row>
    <row r="92" s="105" customFormat="true" ht="18" hidden="false" customHeight="true" outlineLevel="0" collapsed="false">
      <c r="A92" s="96" t="n">
        <v>104</v>
      </c>
      <c r="B92" s="102" t="s">
        <v>126</v>
      </c>
      <c r="C92" s="103" t="n">
        <v>43687</v>
      </c>
      <c r="D92" s="87" t="n">
        <v>1</v>
      </c>
      <c r="E92" s="99" t="n">
        <v>1</v>
      </c>
      <c r="F92" s="104" t="s">
        <v>178</v>
      </c>
      <c r="G92" s="106" t="s">
        <v>267</v>
      </c>
    </row>
    <row r="93" s="105" customFormat="true" ht="18" hidden="false" customHeight="true" outlineLevel="0" collapsed="false">
      <c r="A93" s="96" t="n">
        <v>104</v>
      </c>
      <c r="B93" s="102" t="s">
        <v>126</v>
      </c>
      <c r="C93" s="103" t="n">
        <v>43687</v>
      </c>
      <c r="D93" s="87" t="n">
        <v>1</v>
      </c>
      <c r="E93" s="99" t="n">
        <v>1</v>
      </c>
      <c r="F93" s="104" t="s">
        <v>178</v>
      </c>
      <c r="G93" s="106" t="s">
        <v>268</v>
      </c>
    </row>
    <row r="94" s="105" customFormat="true" ht="18" hidden="false" customHeight="true" outlineLevel="0" collapsed="false">
      <c r="A94" s="96" t="n">
        <v>104</v>
      </c>
      <c r="B94" s="102" t="s">
        <v>126</v>
      </c>
      <c r="C94" s="103" t="n">
        <v>43687</v>
      </c>
      <c r="D94" s="87" t="n">
        <v>1</v>
      </c>
      <c r="E94" s="99" t="n">
        <v>1</v>
      </c>
      <c r="F94" s="104" t="s">
        <v>178</v>
      </c>
      <c r="G94" s="106" t="s">
        <v>269</v>
      </c>
    </row>
    <row r="95" s="105" customFormat="true" ht="18" hidden="false" customHeight="true" outlineLevel="0" collapsed="false">
      <c r="A95" s="96" t="n">
        <v>103</v>
      </c>
      <c r="B95" s="102" t="s">
        <v>125</v>
      </c>
      <c r="C95" s="103" t="n">
        <v>43683</v>
      </c>
      <c r="D95" s="87" t="n">
        <v>1</v>
      </c>
      <c r="E95" s="99" t="n">
        <v>1</v>
      </c>
      <c r="F95" s="104" t="s">
        <v>178</v>
      </c>
      <c r="G95" s="106" t="s">
        <v>270</v>
      </c>
    </row>
    <row r="96" s="105" customFormat="true" ht="18" hidden="false" customHeight="true" outlineLevel="0" collapsed="false">
      <c r="A96" s="96" t="n">
        <v>130</v>
      </c>
      <c r="B96" s="102" t="s">
        <v>152</v>
      </c>
      <c r="C96" s="103" t="n">
        <v>43683</v>
      </c>
      <c r="D96" s="87" t="n">
        <v>1</v>
      </c>
      <c r="E96" s="99" t="n">
        <v>1</v>
      </c>
      <c r="F96" s="104" t="s">
        <v>178</v>
      </c>
      <c r="G96" s="106" t="s">
        <v>271</v>
      </c>
    </row>
    <row r="97" s="105" customFormat="true" ht="18" hidden="false" customHeight="true" outlineLevel="0" collapsed="false">
      <c r="A97" s="96" t="n">
        <v>104</v>
      </c>
      <c r="B97" s="102" t="s">
        <v>126</v>
      </c>
      <c r="C97" s="103" t="n">
        <v>43683</v>
      </c>
      <c r="D97" s="87" t="n">
        <v>1</v>
      </c>
      <c r="E97" s="99" t="n">
        <v>1</v>
      </c>
      <c r="F97" s="104" t="s">
        <v>178</v>
      </c>
      <c r="G97" s="106" t="s">
        <v>272</v>
      </c>
    </row>
    <row r="98" s="105" customFormat="true" ht="18" hidden="false" customHeight="true" outlineLevel="0" collapsed="false">
      <c r="A98" s="96" t="n">
        <v>104</v>
      </c>
      <c r="B98" s="102" t="s">
        <v>126</v>
      </c>
      <c r="C98" s="103" t="n">
        <v>43681</v>
      </c>
      <c r="D98" s="87" t="n">
        <v>1</v>
      </c>
      <c r="E98" s="99" t="n">
        <v>1</v>
      </c>
      <c r="F98" s="104" t="s">
        <v>178</v>
      </c>
      <c r="G98" s="106" t="s">
        <v>273</v>
      </c>
    </row>
    <row r="99" s="105" customFormat="true" ht="18" hidden="false" customHeight="true" outlineLevel="0" collapsed="false">
      <c r="A99" s="96" t="n">
        <v>104</v>
      </c>
      <c r="B99" s="102" t="s">
        <v>126</v>
      </c>
      <c r="C99" s="103" t="n">
        <v>43680</v>
      </c>
      <c r="D99" s="87" t="n">
        <v>1</v>
      </c>
      <c r="E99" s="99" t="n">
        <v>1</v>
      </c>
      <c r="F99" s="104" t="s">
        <v>178</v>
      </c>
      <c r="G99" s="106" t="s">
        <v>274</v>
      </c>
    </row>
    <row r="100" s="105" customFormat="true" ht="18" hidden="false" customHeight="true" outlineLevel="0" collapsed="false">
      <c r="A100" s="96" t="n">
        <v>104</v>
      </c>
      <c r="B100" s="102" t="s">
        <v>126</v>
      </c>
      <c r="C100" s="103" t="n">
        <v>43679</v>
      </c>
      <c r="D100" s="87" t="n">
        <v>1</v>
      </c>
      <c r="E100" s="99" t="n">
        <v>1</v>
      </c>
      <c r="F100" s="104" t="s">
        <v>178</v>
      </c>
      <c r="G100" s="106" t="s">
        <v>275</v>
      </c>
    </row>
    <row r="101" s="105" customFormat="true" ht="18" hidden="false" customHeight="true" outlineLevel="0" collapsed="false">
      <c r="A101" s="96" t="n">
        <v>104</v>
      </c>
      <c r="B101" s="102" t="s">
        <v>126</v>
      </c>
      <c r="C101" s="103" t="n">
        <v>43679</v>
      </c>
      <c r="D101" s="87" t="n">
        <v>1</v>
      </c>
      <c r="E101" s="99" t="n">
        <v>1</v>
      </c>
      <c r="F101" s="104" t="s">
        <v>178</v>
      </c>
      <c r="G101" s="106" t="s">
        <v>276</v>
      </c>
    </row>
    <row r="102" s="105" customFormat="true" ht="18" hidden="false" customHeight="true" outlineLevel="0" collapsed="false">
      <c r="A102" s="96" t="n">
        <v>104</v>
      </c>
      <c r="B102" s="102" t="s">
        <v>126</v>
      </c>
      <c r="C102" s="103" t="n">
        <v>43679</v>
      </c>
      <c r="D102" s="87" t="n">
        <v>1</v>
      </c>
      <c r="E102" s="99" t="n">
        <v>1</v>
      </c>
      <c r="F102" s="104" t="s">
        <v>178</v>
      </c>
      <c r="G102" s="106" t="s">
        <v>277</v>
      </c>
    </row>
    <row r="103" s="105" customFormat="true" ht="18" hidden="false" customHeight="true" outlineLevel="0" collapsed="false">
      <c r="A103" s="96" t="n">
        <v>104</v>
      </c>
      <c r="B103" s="102" t="s">
        <v>126</v>
      </c>
      <c r="C103" s="103" t="n">
        <v>43678</v>
      </c>
      <c r="D103" s="87" t="n">
        <v>1</v>
      </c>
      <c r="E103" s="99" t="n">
        <v>1</v>
      </c>
      <c r="F103" s="104" t="s">
        <v>178</v>
      </c>
      <c r="G103" s="106" t="s">
        <v>278</v>
      </c>
    </row>
    <row r="104" s="105" customFormat="true" ht="18" hidden="false" customHeight="true" outlineLevel="0" collapsed="false">
      <c r="A104" s="96" t="n">
        <v>104</v>
      </c>
      <c r="B104" s="102" t="s">
        <v>126</v>
      </c>
      <c r="C104" s="103" t="n">
        <v>43678</v>
      </c>
      <c r="D104" s="87" t="n">
        <v>1</v>
      </c>
      <c r="E104" s="99" t="n">
        <v>1</v>
      </c>
      <c r="F104" s="104" t="s">
        <v>178</v>
      </c>
      <c r="G104" s="106" t="s">
        <v>279</v>
      </c>
    </row>
    <row r="105" s="105" customFormat="true" ht="18" hidden="false" customHeight="true" outlineLevel="0" collapsed="false">
      <c r="A105" s="96" t="n">
        <v>104</v>
      </c>
      <c r="B105" s="102" t="s">
        <v>126</v>
      </c>
      <c r="C105" s="103" t="n">
        <v>43676</v>
      </c>
      <c r="D105" s="87" t="n">
        <v>1</v>
      </c>
      <c r="E105" s="99" t="n">
        <v>1</v>
      </c>
      <c r="F105" s="104" t="s">
        <v>178</v>
      </c>
      <c r="G105" s="106" t="s">
        <v>280</v>
      </c>
    </row>
    <row r="106" s="105" customFormat="true" ht="18" hidden="false" customHeight="true" outlineLevel="0" collapsed="false">
      <c r="A106" s="96" t="n">
        <v>104</v>
      </c>
      <c r="B106" s="102" t="s">
        <v>126</v>
      </c>
      <c r="C106" s="103" t="n">
        <v>43675</v>
      </c>
      <c r="D106" s="87" t="n">
        <v>1</v>
      </c>
      <c r="E106" s="99" t="n">
        <v>1</v>
      </c>
      <c r="F106" s="104" t="s">
        <v>178</v>
      </c>
      <c r="G106" s="106" t="s">
        <v>281</v>
      </c>
    </row>
    <row r="107" s="105" customFormat="true" ht="18" hidden="false" customHeight="true" outlineLevel="0" collapsed="false">
      <c r="A107" s="96" t="n">
        <v>145</v>
      </c>
      <c r="B107" s="102" t="s">
        <v>167</v>
      </c>
      <c r="C107" s="103" t="n">
        <v>43671</v>
      </c>
      <c r="D107" s="87" t="n">
        <v>1</v>
      </c>
      <c r="E107" s="99" t="n">
        <v>1</v>
      </c>
      <c r="F107" s="104" t="s">
        <v>178</v>
      </c>
      <c r="G107" s="106" t="s">
        <v>282</v>
      </c>
    </row>
    <row r="108" s="105" customFormat="true" ht="18" hidden="false" customHeight="true" outlineLevel="0" collapsed="false">
      <c r="A108" s="96" t="n">
        <v>107</v>
      </c>
      <c r="B108" s="102" t="s">
        <v>129</v>
      </c>
      <c r="C108" s="103" t="n">
        <v>43672</v>
      </c>
      <c r="D108" s="87" t="n">
        <v>1</v>
      </c>
      <c r="E108" s="99" t="n">
        <v>1</v>
      </c>
      <c r="F108" s="104" t="s">
        <v>178</v>
      </c>
      <c r="G108" s="106" t="s">
        <v>283</v>
      </c>
    </row>
    <row r="109" s="105" customFormat="true" ht="18" hidden="false" customHeight="true" outlineLevel="0" collapsed="false">
      <c r="A109" s="96" t="n">
        <v>106</v>
      </c>
      <c r="B109" s="102" t="s">
        <v>128</v>
      </c>
      <c r="C109" s="103" t="n">
        <v>43672</v>
      </c>
      <c r="D109" s="87" t="n">
        <v>1</v>
      </c>
      <c r="E109" s="99" t="n">
        <v>1</v>
      </c>
      <c r="F109" s="104" t="s">
        <v>178</v>
      </c>
      <c r="G109" s="106" t="s">
        <v>283</v>
      </c>
    </row>
    <row r="110" s="105" customFormat="true" ht="18" hidden="false" customHeight="true" outlineLevel="0" collapsed="false">
      <c r="A110" s="96" t="n">
        <v>105</v>
      </c>
      <c r="B110" s="102" t="s">
        <v>127</v>
      </c>
      <c r="C110" s="103" t="n">
        <v>43672</v>
      </c>
      <c r="D110" s="87" t="n">
        <v>1</v>
      </c>
      <c r="E110" s="99" t="n">
        <v>1</v>
      </c>
      <c r="F110" s="104" t="s">
        <v>178</v>
      </c>
      <c r="G110" s="106" t="s">
        <v>283</v>
      </c>
    </row>
    <row r="111" s="105" customFormat="true" ht="18" hidden="false" customHeight="true" outlineLevel="0" collapsed="false">
      <c r="A111" s="96" t="n">
        <v>136</v>
      </c>
      <c r="B111" s="102" t="s">
        <v>158</v>
      </c>
      <c r="C111" s="103" t="n">
        <v>43672</v>
      </c>
      <c r="D111" s="87" t="n">
        <v>1</v>
      </c>
      <c r="E111" s="99" t="n">
        <v>1</v>
      </c>
      <c r="F111" s="104" t="s">
        <v>178</v>
      </c>
      <c r="G111" s="106" t="s">
        <v>284</v>
      </c>
    </row>
    <row r="112" s="105" customFormat="true" ht="18" hidden="false" customHeight="true" outlineLevel="0" collapsed="false">
      <c r="A112" s="96" t="n">
        <v>104</v>
      </c>
      <c r="B112" s="102" t="s">
        <v>126</v>
      </c>
      <c r="C112" s="103" t="n">
        <v>43671</v>
      </c>
      <c r="D112" s="87" t="n">
        <v>2</v>
      </c>
      <c r="E112" s="99"/>
      <c r="F112" s="104" t="s">
        <v>14</v>
      </c>
      <c r="G112" s="106" t="s">
        <v>285</v>
      </c>
    </row>
    <row r="113" s="105" customFormat="true" ht="18" hidden="false" customHeight="true" outlineLevel="0" collapsed="false">
      <c r="A113" s="96" t="n">
        <v>104</v>
      </c>
      <c r="B113" s="102" t="s">
        <v>126</v>
      </c>
      <c r="C113" s="103" t="n">
        <v>43671</v>
      </c>
      <c r="D113" s="87" t="n">
        <v>1</v>
      </c>
      <c r="E113" s="99" t="n">
        <v>1</v>
      </c>
      <c r="F113" s="104" t="s">
        <v>178</v>
      </c>
      <c r="G113" s="106" t="s">
        <v>286</v>
      </c>
    </row>
    <row r="114" s="105" customFormat="true" ht="18" hidden="false" customHeight="true" outlineLevel="0" collapsed="false">
      <c r="A114" s="96" t="n">
        <v>104</v>
      </c>
      <c r="B114" s="102" t="s">
        <v>126</v>
      </c>
      <c r="C114" s="103" t="n">
        <v>43671</v>
      </c>
      <c r="D114" s="87" t="n">
        <v>1</v>
      </c>
      <c r="E114" s="99" t="n">
        <v>1</v>
      </c>
      <c r="F114" s="104" t="s">
        <v>178</v>
      </c>
      <c r="G114" s="106" t="s">
        <v>287</v>
      </c>
    </row>
    <row r="115" s="105" customFormat="true" ht="18" hidden="false" customHeight="true" outlineLevel="0" collapsed="false">
      <c r="A115" s="96" t="n">
        <v>104</v>
      </c>
      <c r="B115" s="102" t="s">
        <v>126</v>
      </c>
      <c r="C115" s="103" t="n">
        <v>43670</v>
      </c>
      <c r="D115" s="87" t="n">
        <v>1</v>
      </c>
      <c r="E115" s="99" t="n">
        <v>1</v>
      </c>
      <c r="F115" s="104" t="s">
        <v>178</v>
      </c>
      <c r="G115" s="106" t="s">
        <v>288</v>
      </c>
    </row>
    <row r="116" s="105" customFormat="true" ht="18" hidden="false" customHeight="true" outlineLevel="0" collapsed="false">
      <c r="A116" s="96" t="n">
        <v>104</v>
      </c>
      <c r="B116" s="102" t="s">
        <v>126</v>
      </c>
      <c r="C116" s="103" t="n">
        <v>43669</v>
      </c>
      <c r="D116" s="87" t="n">
        <v>1</v>
      </c>
      <c r="E116" s="99" t="n">
        <v>1</v>
      </c>
      <c r="F116" s="104" t="s">
        <v>178</v>
      </c>
      <c r="G116" s="106" t="s">
        <v>289</v>
      </c>
    </row>
    <row r="117" s="105" customFormat="true" ht="18" hidden="false" customHeight="true" outlineLevel="0" collapsed="false">
      <c r="A117" s="96" t="n">
        <v>104</v>
      </c>
      <c r="B117" s="102" t="s">
        <v>126</v>
      </c>
      <c r="C117" s="103" t="n">
        <v>43668</v>
      </c>
      <c r="D117" s="87" t="n">
        <v>1</v>
      </c>
      <c r="E117" s="99" t="n">
        <v>1</v>
      </c>
      <c r="F117" s="104" t="s">
        <v>178</v>
      </c>
      <c r="G117" s="106" t="s">
        <v>290</v>
      </c>
    </row>
    <row r="118" s="105" customFormat="true" ht="18" hidden="false" customHeight="true" outlineLevel="0" collapsed="false">
      <c r="A118" s="96" t="n">
        <v>104</v>
      </c>
      <c r="B118" s="102" t="s">
        <v>126</v>
      </c>
      <c r="C118" s="103" t="n">
        <v>43666</v>
      </c>
      <c r="D118" s="87" t="n">
        <v>1</v>
      </c>
      <c r="E118" s="99" t="n">
        <v>1</v>
      </c>
      <c r="F118" s="104" t="s">
        <v>178</v>
      </c>
      <c r="G118" s="107" t="s">
        <v>291</v>
      </c>
    </row>
    <row r="119" s="105" customFormat="true" ht="18" hidden="false" customHeight="true" outlineLevel="0" collapsed="false">
      <c r="A119" s="96" t="n">
        <v>104</v>
      </c>
      <c r="B119" s="102" t="s">
        <v>126</v>
      </c>
      <c r="C119" s="103" t="n">
        <v>43664</v>
      </c>
      <c r="D119" s="87" t="n">
        <v>1</v>
      </c>
      <c r="E119" s="99" t="n">
        <v>1</v>
      </c>
      <c r="F119" s="104" t="s">
        <v>178</v>
      </c>
      <c r="G119" s="106" t="s">
        <v>292</v>
      </c>
    </row>
    <row r="120" s="105" customFormat="true" ht="18" hidden="false" customHeight="true" outlineLevel="0" collapsed="false">
      <c r="A120" s="96" t="n">
        <v>104</v>
      </c>
      <c r="B120" s="102" t="s">
        <v>126</v>
      </c>
      <c r="C120" s="103" t="n">
        <v>43664</v>
      </c>
      <c r="D120" s="87" t="n">
        <v>1</v>
      </c>
      <c r="E120" s="99" t="n">
        <v>1</v>
      </c>
      <c r="F120" s="104" t="s">
        <v>178</v>
      </c>
      <c r="G120" s="106" t="s">
        <v>292</v>
      </c>
    </row>
    <row r="121" s="105" customFormat="true" ht="18" hidden="false" customHeight="true" outlineLevel="0" collapsed="false">
      <c r="A121" s="96" t="n">
        <v>104</v>
      </c>
      <c r="B121" s="102" t="s">
        <v>126</v>
      </c>
      <c r="C121" s="103" t="n">
        <v>43665</v>
      </c>
      <c r="D121" s="87" t="n">
        <v>1</v>
      </c>
      <c r="E121" s="99" t="n">
        <v>1</v>
      </c>
      <c r="F121" s="104" t="s">
        <v>178</v>
      </c>
      <c r="G121" s="106" t="s">
        <v>293</v>
      </c>
    </row>
    <row r="122" s="105" customFormat="true" ht="18" hidden="false" customHeight="true" outlineLevel="0" collapsed="false">
      <c r="A122" s="96" t="n">
        <v>104</v>
      </c>
      <c r="B122" s="102" t="s">
        <v>126</v>
      </c>
      <c r="C122" s="103" t="n">
        <v>43665</v>
      </c>
      <c r="D122" s="87" t="n">
        <v>1</v>
      </c>
      <c r="E122" s="99" t="n">
        <v>1</v>
      </c>
      <c r="F122" s="104" t="s">
        <v>178</v>
      </c>
      <c r="G122" s="106" t="s">
        <v>294</v>
      </c>
    </row>
    <row r="123" s="105" customFormat="true" ht="18" hidden="false" customHeight="true" outlineLevel="0" collapsed="false">
      <c r="A123" s="96" t="n">
        <v>104</v>
      </c>
      <c r="B123" s="102" t="s">
        <v>126</v>
      </c>
      <c r="C123" s="103" t="n">
        <v>43663</v>
      </c>
      <c r="D123" s="87" t="n">
        <v>1</v>
      </c>
      <c r="E123" s="99" t="n">
        <v>1</v>
      </c>
      <c r="F123" s="104" t="s">
        <v>178</v>
      </c>
      <c r="G123" s="106" t="s">
        <v>295</v>
      </c>
    </row>
    <row r="124" s="105" customFormat="true" ht="18" hidden="false" customHeight="true" outlineLevel="0" collapsed="false">
      <c r="A124" s="96" t="n">
        <v>116</v>
      </c>
      <c r="B124" s="102" t="s">
        <v>138</v>
      </c>
      <c r="C124" s="103" t="n">
        <v>43662</v>
      </c>
      <c r="D124" s="87" t="n">
        <v>1</v>
      </c>
      <c r="E124" s="99" t="n">
        <v>1</v>
      </c>
      <c r="F124" s="104" t="s">
        <v>178</v>
      </c>
      <c r="G124" s="106" t="s">
        <v>296</v>
      </c>
    </row>
    <row r="125" s="105" customFormat="true" ht="18" hidden="false" customHeight="true" outlineLevel="0" collapsed="false">
      <c r="A125" s="96" t="n">
        <v>114</v>
      </c>
      <c r="B125" s="102" t="s">
        <v>136</v>
      </c>
      <c r="C125" s="103" t="n">
        <v>43662</v>
      </c>
      <c r="D125" s="87" t="n">
        <v>1</v>
      </c>
      <c r="E125" s="99" t="n">
        <v>1</v>
      </c>
      <c r="F125" s="104" t="s">
        <v>178</v>
      </c>
      <c r="G125" s="106" t="s">
        <v>296</v>
      </c>
    </row>
    <row r="126" s="105" customFormat="true" ht="18" hidden="false" customHeight="true" outlineLevel="0" collapsed="false">
      <c r="A126" s="96" t="n">
        <v>107</v>
      </c>
      <c r="B126" s="102" t="s">
        <v>129</v>
      </c>
      <c r="C126" s="103" t="n">
        <v>43661</v>
      </c>
      <c r="D126" s="87" t="n">
        <v>2</v>
      </c>
      <c r="E126" s="99" t="n">
        <v>1</v>
      </c>
      <c r="F126" s="104" t="s">
        <v>178</v>
      </c>
      <c r="G126" s="106" t="s">
        <v>297</v>
      </c>
    </row>
    <row r="127" s="105" customFormat="true" ht="18" hidden="false" customHeight="true" outlineLevel="0" collapsed="false">
      <c r="A127" s="96" t="n">
        <v>105</v>
      </c>
      <c r="B127" s="102" t="s">
        <v>127</v>
      </c>
      <c r="C127" s="103" t="n">
        <v>43661</v>
      </c>
      <c r="D127" s="87" t="n">
        <v>1</v>
      </c>
      <c r="E127" s="99" t="n">
        <v>1</v>
      </c>
      <c r="F127" s="104" t="s">
        <v>178</v>
      </c>
      <c r="G127" s="106" t="s">
        <v>298</v>
      </c>
    </row>
    <row r="128" s="105" customFormat="true" ht="18" hidden="false" customHeight="true" outlineLevel="0" collapsed="false">
      <c r="A128" s="96" t="n">
        <v>104</v>
      </c>
      <c r="B128" s="102" t="s">
        <v>126</v>
      </c>
      <c r="C128" s="103" t="n">
        <v>43661</v>
      </c>
      <c r="D128" s="87" t="n">
        <v>1</v>
      </c>
      <c r="E128" s="99" t="n">
        <v>1</v>
      </c>
      <c r="F128" s="104" t="s">
        <v>178</v>
      </c>
      <c r="G128" s="106" t="s">
        <v>299</v>
      </c>
    </row>
    <row r="129" s="105" customFormat="true" ht="18" hidden="false" customHeight="true" outlineLevel="0" collapsed="false">
      <c r="A129" s="96" t="n">
        <v>104</v>
      </c>
      <c r="B129" s="102" t="s">
        <v>126</v>
      </c>
      <c r="C129" s="103" t="n">
        <v>43661</v>
      </c>
      <c r="D129" s="87" t="n">
        <v>1</v>
      </c>
      <c r="E129" s="99" t="n">
        <v>1</v>
      </c>
      <c r="F129" s="104" t="s">
        <v>178</v>
      </c>
      <c r="G129" s="106" t="s">
        <v>300</v>
      </c>
    </row>
    <row r="130" s="105" customFormat="true" ht="18" hidden="false" customHeight="true" outlineLevel="0" collapsed="false">
      <c r="A130" s="96" t="n">
        <v>106</v>
      </c>
      <c r="B130" s="102" t="s">
        <v>128</v>
      </c>
      <c r="C130" s="103" t="n">
        <v>43658</v>
      </c>
      <c r="D130" s="87" t="n">
        <v>1</v>
      </c>
      <c r="E130" s="99" t="n">
        <v>1</v>
      </c>
      <c r="F130" s="104" t="s">
        <v>178</v>
      </c>
      <c r="G130" s="106" t="s">
        <v>301</v>
      </c>
    </row>
    <row r="131" s="105" customFormat="true" ht="18" hidden="false" customHeight="true" outlineLevel="0" collapsed="false">
      <c r="A131" s="96" t="n">
        <v>104</v>
      </c>
      <c r="B131" s="102" t="s">
        <v>126</v>
      </c>
      <c r="C131" s="103" t="n">
        <v>43658</v>
      </c>
      <c r="D131" s="87" t="n">
        <v>1</v>
      </c>
      <c r="E131" s="99" t="n">
        <v>1</v>
      </c>
      <c r="F131" s="104" t="s">
        <v>178</v>
      </c>
      <c r="G131" s="106" t="s">
        <v>302</v>
      </c>
    </row>
    <row r="132" s="105" customFormat="true" ht="18" hidden="false" customHeight="true" outlineLevel="0" collapsed="false">
      <c r="A132" s="96" t="n">
        <v>104</v>
      </c>
      <c r="B132" s="102" t="s">
        <v>126</v>
      </c>
      <c r="C132" s="103" t="n">
        <v>43657</v>
      </c>
      <c r="D132" s="87" t="n">
        <v>1</v>
      </c>
      <c r="E132" s="99" t="n">
        <v>1</v>
      </c>
      <c r="F132" s="104" t="s">
        <v>178</v>
      </c>
      <c r="G132" s="106" t="s">
        <v>303</v>
      </c>
    </row>
    <row r="133" s="105" customFormat="true" ht="18" hidden="false" customHeight="true" outlineLevel="0" collapsed="false">
      <c r="A133" s="96" t="n">
        <v>104</v>
      </c>
      <c r="B133" s="102" t="s">
        <v>126</v>
      </c>
      <c r="C133" s="103" t="n">
        <v>43657</v>
      </c>
      <c r="D133" s="87" t="n">
        <v>1</v>
      </c>
      <c r="E133" s="99" t="n">
        <v>1</v>
      </c>
      <c r="F133" s="104" t="s">
        <v>178</v>
      </c>
      <c r="G133" s="106" t="s">
        <v>304</v>
      </c>
    </row>
    <row r="134" s="105" customFormat="true" ht="18" hidden="false" customHeight="true" outlineLevel="0" collapsed="false">
      <c r="A134" s="96" t="n">
        <v>104</v>
      </c>
      <c r="B134" s="102" t="s">
        <v>126</v>
      </c>
      <c r="C134" s="103" t="n">
        <v>43656</v>
      </c>
      <c r="D134" s="87" t="n">
        <v>1</v>
      </c>
      <c r="E134" s="99" t="n">
        <v>1</v>
      </c>
      <c r="F134" s="104" t="s">
        <v>178</v>
      </c>
      <c r="G134" s="106" t="s">
        <v>305</v>
      </c>
    </row>
    <row r="135" s="105" customFormat="true" ht="18" hidden="false" customHeight="true" outlineLevel="0" collapsed="false">
      <c r="A135" s="96" t="n">
        <v>136</v>
      </c>
      <c r="B135" s="102" t="s">
        <v>158</v>
      </c>
      <c r="C135" s="103" t="n">
        <v>43656</v>
      </c>
      <c r="D135" s="87" t="n">
        <v>1</v>
      </c>
      <c r="E135" s="99" t="n">
        <v>1</v>
      </c>
      <c r="F135" s="104" t="s">
        <v>178</v>
      </c>
      <c r="G135" s="106" t="s">
        <v>306</v>
      </c>
    </row>
    <row r="136" s="105" customFormat="true" ht="18" hidden="false" customHeight="true" outlineLevel="0" collapsed="false">
      <c r="A136" s="96" t="n">
        <v>104</v>
      </c>
      <c r="B136" s="102" t="s">
        <v>126</v>
      </c>
      <c r="C136" s="103" t="n">
        <v>43656</v>
      </c>
      <c r="D136" s="87" t="n">
        <v>1</v>
      </c>
      <c r="E136" s="99" t="n">
        <v>1</v>
      </c>
      <c r="F136" s="104" t="s">
        <v>178</v>
      </c>
      <c r="G136" s="106" t="s">
        <v>307</v>
      </c>
    </row>
    <row r="137" s="105" customFormat="true" ht="18" hidden="false" customHeight="true" outlineLevel="0" collapsed="false">
      <c r="A137" s="96" t="n">
        <v>104</v>
      </c>
      <c r="B137" s="102" t="s">
        <v>126</v>
      </c>
      <c r="C137" s="103" t="n">
        <v>43656</v>
      </c>
      <c r="D137" s="87" t="n">
        <v>1</v>
      </c>
      <c r="E137" s="99" t="n">
        <v>1</v>
      </c>
      <c r="F137" s="104" t="s">
        <v>178</v>
      </c>
      <c r="G137" s="106" t="s">
        <v>308</v>
      </c>
    </row>
    <row r="138" s="105" customFormat="true" ht="18" hidden="false" customHeight="true" outlineLevel="0" collapsed="false">
      <c r="A138" s="96" t="n">
        <v>104</v>
      </c>
      <c r="B138" s="102" t="s">
        <v>126</v>
      </c>
      <c r="C138" s="103" t="n">
        <v>43655</v>
      </c>
      <c r="D138" s="87" t="n">
        <v>1</v>
      </c>
      <c r="E138" s="99" t="n">
        <v>1</v>
      </c>
      <c r="F138" s="104" t="s">
        <v>178</v>
      </c>
      <c r="G138" s="106" t="s">
        <v>309</v>
      </c>
    </row>
    <row r="139" s="105" customFormat="true" ht="18" hidden="false" customHeight="true" outlineLevel="0" collapsed="false">
      <c r="A139" s="96" t="n">
        <v>104</v>
      </c>
      <c r="B139" s="102" t="s">
        <v>126</v>
      </c>
      <c r="C139" s="103" t="n">
        <v>43655</v>
      </c>
      <c r="D139" s="87" t="n">
        <v>1</v>
      </c>
      <c r="E139" s="99" t="n">
        <v>1</v>
      </c>
      <c r="F139" s="104" t="s">
        <v>178</v>
      </c>
      <c r="G139" s="106" t="s">
        <v>310</v>
      </c>
    </row>
    <row r="140" s="105" customFormat="true" ht="18" hidden="false" customHeight="true" outlineLevel="0" collapsed="false">
      <c r="A140" s="96" t="n">
        <v>104</v>
      </c>
      <c r="B140" s="102" t="s">
        <v>126</v>
      </c>
      <c r="C140" s="103" t="n">
        <v>43654</v>
      </c>
      <c r="D140" s="87" t="n">
        <v>1</v>
      </c>
      <c r="E140" s="99" t="n">
        <v>1</v>
      </c>
      <c r="F140" s="104" t="s">
        <v>178</v>
      </c>
      <c r="G140" s="106" t="s">
        <v>311</v>
      </c>
    </row>
    <row r="141" s="105" customFormat="true" ht="18" hidden="false" customHeight="true" outlineLevel="0" collapsed="false">
      <c r="A141" s="96" t="n">
        <v>104</v>
      </c>
      <c r="B141" s="102" t="s">
        <v>126</v>
      </c>
      <c r="C141" s="103" t="n">
        <v>43652</v>
      </c>
      <c r="D141" s="87" t="n">
        <v>1</v>
      </c>
      <c r="E141" s="99" t="n">
        <v>1</v>
      </c>
      <c r="F141" s="104" t="s">
        <v>178</v>
      </c>
      <c r="G141" s="106" t="s">
        <v>312</v>
      </c>
    </row>
    <row r="142" s="105" customFormat="true" ht="18" hidden="false" customHeight="true" outlineLevel="0" collapsed="false">
      <c r="A142" s="96" t="n">
        <v>104</v>
      </c>
      <c r="B142" s="102" t="s">
        <v>126</v>
      </c>
      <c r="C142" s="103" t="n">
        <v>43652</v>
      </c>
      <c r="D142" s="87" t="n">
        <v>1</v>
      </c>
      <c r="E142" s="99" t="n">
        <v>1</v>
      </c>
      <c r="F142" s="104" t="s">
        <v>178</v>
      </c>
      <c r="G142" s="106" t="s">
        <v>313</v>
      </c>
    </row>
    <row r="143" s="105" customFormat="true" ht="18" hidden="false" customHeight="true" outlineLevel="0" collapsed="false">
      <c r="A143" s="96" t="n">
        <v>104</v>
      </c>
      <c r="B143" s="102" t="s">
        <v>126</v>
      </c>
      <c r="C143" s="103" t="n">
        <v>43650</v>
      </c>
      <c r="D143" s="87" t="n">
        <v>1</v>
      </c>
      <c r="E143" s="99" t="n">
        <v>1</v>
      </c>
      <c r="F143" s="104" t="s">
        <v>178</v>
      </c>
      <c r="G143" s="106" t="s">
        <v>314</v>
      </c>
    </row>
    <row r="144" s="105" customFormat="true" ht="18" hidden="false" customHeight="true" outlineLevel="0" collapsed="false">
      <c r="A144" s="96" t="n">
        <v>104</v>
      </c>
      <c r="B144" s="102" t="s">
        <v>126</v>
      </c>
      <c r="C144" s="103" t="n">
        <v>43650</v>
      </c>
      <c r="D144" s="87" t="n">
        <v>1</v>
      </c>
      <c r="E144" s="99" t="n">
        <v>1</v>
      </c>
      <c r="F144" s="104" t="s">
        <v>178</v>
      </c>
      <c r="G144" s="106" t="s">
        <v>315</v>
      </c>
    </row>
    <row r="145" s="105" customFormat="true" ht="18" hidden="false" customHeight="true" outlineLevel="0" collapsed="false">
      <c r="A145" s="96" t="n">
        <v>104</v>
      </c>
      <c r="B145" s="102" t="s">
        <v>126</v>
      </c>
      <c r="C145" s="103" t="n">
        <v>43647</v>
      </c>
      <c r="D145" s="87" t="n">
        <v>1</v>
      </c>
      <c r="E145" s="99" t="n">
        <v>1</v>
      </c>
      <c r="F145" s="104" t="s">
        <v>178</v>
      </c>
      <c r="G145" s="106" t="s">
        <v>316</v>
      </c>
    </row>
    <row r="146" s="105" customFormat="true" ht="18" hidden="false" customHeight="true" outlineLevel="0" collapsed="false">
      <c r="A146" s="96" t="n">
        <v>104</v>
      </c>
      <c r="B146" s="102" t="s">
        <v>126</v>
      </c>
      <c r="C146" s="103" t="n">
        <v>43644</v>
      </c>
      <c r="D146" s="87" t="n">
        <v>1</v>
      </c>
      <c r="E146" s="99" t="n">
        <v>1</v>
      </c>
      <c r="F146" s="104" t="s">
        <v>178</v>
      </c>
      <c r="G146" s="108" t="s">
        <v>317</v>
      </c>
    </row>
    <row r="147" s="105" customFormat="true" ht="18" hidden="false" customHeight="true" outlineLevel="0" collapsed="false">
      <c r="A147" s="96" t="n">
        <v>104</v>
      </c>
      <c r="B147" s="102" t="s">
        <v>126</v>
      </c>
      <c r="C147" s="103" t="n">
        <v>43644</v>
      </c>
      <c r="D147" s="87" t="n">
        <v>1</v>
      </c>
      <c r="E147" s="99" t="n">
        <v>1</v>
      </c>
      <c r="F147" s="104" t="s">
        <v>178</v>
      </c>
      <c r="G147" s="108" t="s">
        <v>318</v>
      </c>
    </row>
    <row r="148" s="105" customFormat="true" ht="18" hidden="false" customHeight="true" outlineLevel="0" collapsed="false">
      <c r="A148" s="96" t="n">
        <v>104</v>
      </c>
      <c r="B148" s="102" t="s">
        <v>126</v>
      </c>
      <c r="C148" s="103" t="n">
        <v>43644</v>
      </c>
      <c r="D148" s="87" t="n">
        <v>1</v>
      </c>
      <c r="E148" s="99" t="n">
        <v>1</v>
      </c>
      <c r="F148" s="104" t="s">
        <v>178</v>
      </c>
      <c r="G148" s="108" t="s">
        <v>319</v>
      </c>
    </row>
    <row r="149" s="105" customFormat="true" ht="18" hidden="false" customHeight="true" outlineLevel="0" collapsed="false">
      <c r="A149" s="96" t="n">
        <v>104</v>
      </c>
      <c r="B149" s="102" t="s">
        <v>126</v>
      </c>
      <c r="C149" s="103" t="n">
        <v>43643</v>
      </c>
      <c r="D149" s="87" t="n">
        <v>1</v>
      </c>
      <c r="E149" s="99" t="n">
        <v>1</v>
      </c>
      <c r="F149" s="104" t="s">
        <v>178</v>
      </c>
      <c r="G149" s="108" t="s">
        <v>320</v>
      </c>
    </row>
    <row r="150" s="105" customFormat="true" ht="18" hidden="false" customHeight="true" outlineLevel="0" collapsed="false">
      <c r="A150" s="96" t="n">
        <v>104</v>
      </c>
      <c r="B150" s="102" t="s">
        <v>126</v>
      </c>
      <c r="C150" s="103" t="n">
        <v>43643</v>
      </c>
      <c r="D150" s="87" t="n">
        <v>1</v>
      </c>
      <c r="E150" s="99" t="n">
        <v>1</v>
      </c>
      <c r="F150" s="104" t="s">
        <v>178</v>
      </c>
      <c r="G150" s="108" t="s">
        <v>321</v>
      </c>
    </row>
    <row r="151" s="105" customFormat="true" ht="18" hidden="false" customHeight="true" outlineLevel="0" collapsed="false">
      <c r="A151" s="96" t="n">
        <v>104</v>
      </c>
      <c r="B151" s="102" t="s">
        <v>126</v>
      </c>
      <c r="C151" s="103" t="n">
        <v>43642</v>
      </c>
      <c r="D151" s="87" t="n">
        <v>1</v>
      </c>
      <c r="E151" s="99" t="n">
        <v>1</v>
      </c>
      <c r="F151" s="104" t="s">
        <v>178</v>
      </c>
      <c r="G151" s="108" t="s">
        <v>322</v>
      </c>
    </row>
    <row r="152" s="105" customFormat="true" ht="18" hidden="false" customHeight="true" outlineLevel="0" collapsed="false">
      <c r="A152" s="96" t="n">
        <v>104</v>
      </c>
      <c r="B152" s="102" t="s">
        <v>126</v>
      </c>
      <c r="C152" s="103" t="n">
        <v>43641</v>
      </c>
      <c r="D152" s="87" t="n">
        <v>1</v>
      </c>
      <c r="E152" s="99" t="n">
        <v>1</v>
      </c>
      <c r="F152" s="104" t="s">
        <v>178</v>
      </c>
      <c r="G152" s="108" t="s">
        <v>323</v>
      </c>
    </row>
    <row r="153" s="105" customFormat="true" ht="18" hidden="false" customHeight="true" outlineLevel="0" collapsed="false">
      <c r="A153" s="96" t="n">
        <v>104</v>
      </c>
      <c r="B153" s="102" t="s">
        <v>126</v>
      </c>
      <c r="C153" s="103" t="n">
        <v>43579</v>
      </c>
      <c r="D153" s="87" t="n">
        <v>2</v>
      </c>
      <c r="E153" s="99" t="n">
        <v>1</v>
      </c>
      <c r="F153" s="104" t="s">
        <v>178</v>
      </c>
      <c r="G153" s="108"/>
    </row>
    <row r="154" s="105" customFormat="true" ht="18" hidden="false" customHeight="true" outlineLevel="0" collapsed="false">
      <c r="A154" s="96" t="n">
        <v>104</v>
      </c>
      <c r="B154" s="102" t="s">
        <v>126</v>
      </c>
      <c r="C154" s="103" t="n">
        <v>43640</v>
      </c>
      <c r="D154" s="87" t="n">
        <v>1</v>
      </c>
      <c r="E154" s="99" t="n">
        <v>1</v>
      </c>
      <c r="F154" s="104" t="s">
        <v>178</v>
      </c>
      <c r="G154" s="108" t="s">
        <v>324</v>
      </c>
    </row>
    <row r="155" s="105" customFormat="true" ht="18" hidden="false" customHeight="true" outlineLevel="0" collapsed="false">
      <c r="A155" s="96" t="n">
        <v>104</v>
      </c>
      <c r="B155" s="102" t="s">
        <v>126</v>
      </c>
      <c r="C155" s="103" t="n">
        <v>43639</v>
      </c>
      <c r="D155" s="87" t="n">
        <v>1</v>
      </c>
      <c r="E155" s="99" t="n">
        <v>1</v>
      </c>
      <c r="F155" s="104" t="s">
        <v>178</v>
      </c>
      <c r="G155" s="109" t="s">
        <v>325</v>
      </c>
    </row>
    <row r="156" s="105" customFormat="true" ht="18" hidden="false" customHeight="true" outlineLevel="0" collapsed="false">
      <c r="A156" s="96" t="n">
        <v>115</v>
      </c>
      <c r="B156" s="102" t="s">
        <v>137</v>
      </c>
      <c r="C156" s="103" t="n">
        <v>43729</v>
      </c>
      <c r="D156" s="87" t="n">
        <v>1</v>
      </c>
      <c r="E156" s="99" t="n">
        <v>1</v>
      </c>
      <c r="F156" s="104" t="s">
        <v>178</v>
      </c>
      <c r="G156" s="109" t="s">
        <v>326</v>
      </c>
    </row>
    <row r="157" s="105" customFormat="true" ht="18" hidden="false" customHeight="true" outlineLevel="0" collapsed="false">
      <c r="A157" s="96" t="n">
        <v>116</v>
      </c>
      <c r="B157" s="102" t="s">
        <v>138</v>
      </c>
      <c r="C157" s="103" t="n">
        <v>43729</v>
      </c>
      <c r="D157" s="87" t="n">
        <v>1</v>
      </c>
      <c r="E157" s="99" t="n">
        <v>1</v>
      </c>
      <c r="F157" s="104" t="s">
        <v>178</v>
      </c>
      <c r="G157" s="109" t="s">
        <v>327</v>
      </c>
    </row>
    <row r="158" s="105" customFormat="true" ht="18" hidden="false" customHeight="true" outlineLevel="0" collapsed="false">
      <c r="A158" s="96" t="n">
        <v>108</v>
      </c>
      <c r="B158" s="102" t="s">
        <v>130</v>
      </c>
      <c r="C158" s="103" t="n">
        <v>43637</v>
      </c>
      <c r="D158" s="87" t="n">
        <v>1</v>
      </c>
      <c r="E158" s="99" t="n">
        <v>1</v>
      </c>
      <c r="F158" s="104" t="s">
        <v>178</v>
      </c>
      <c r="G158" s="109" t="s">
        <v>328</v>
      </c>
    </row>
    <row r="159" s="105" customFormat="true" ht="18" hidden="false" customHeight="true" outlineLevel="0" collapsed="false">
      <c r="A159" s="96" t="n">
        <v>104</v>
      </c>
      <c r="B159" s="102" t="s">
        <v>126</v>
      </c>
      <c r="C159" s="103" t="n">
        <v>43636</v>
      </c>
      <c r="D159" s="87" t="n">
        <v>1</v>
      </c>
      <c r="E159" s="99" t="n">
        <v>1</v>
      </c>
      <c r="F159" s="104" t="s">
        <v>178</v>
      </c>
      <c r="G159" s="109" t="s">
        <v>329</v>
      </c>
    </row>
    <row r="160" s="105" customFormat="true" ht="18" hidden="false" customHeight="true" outlineLevel="0" collapsed="false">
      <c r="A160" s="96" t="n">
        <v>104</v>
      </c>
      <c r="B160" s="102" t="s">
        <v>126</v>
      </c>
      <c r="C160" s="103" t="n">
        <v>43635</v>
      </c>
      <c r="D160" s="87" t="n">
        <v>1</v>
      </c>
      <c r="E160" s="99" t="n">
        <v>1</v>
      </c>
      <c r="F160" s="104" t="s">
        <v>178</v>
      </c>
      <c r="G160" s="109" t="s">
        <v>330</v>
      </c>
    </row>
    <row r="161" s="105" customFormat="true" ht="18" hidden="false" customHeight="true" outlineLevel="0" collapsed="false">
      <c r="A161" s="96" t="n">
        <v>108</v>
      </c>
      <c r="B161" s="102" t="s">
        <v>130</v>
      </c>
      <c r="C161" s="103" t="n">
        <v>43635</v>
      </c>
      <c r="D161" s="87" t="n">
        <v>1</v>
      </c>
      <c r="E161" s="99" t="n">
        <v>1</v>
      </c>
      <c r="F161" s="104" t="s">
        <v>178</v>
      </c>
      <c r="G161" s="109" t="s">
        <v>331</v>
      </c>
    </row>
    <row r="162" s="105" customFormat="true" ht="18" hidden="false" customHeight="true" outlineLevel="0" collapsed="false">
      <c r="A162" s="96" t="n">
        <v>104</v>
      </c>
      <c r="B162" s="102" t="s">
        <v>126</v>
      </c>
      <c r="C162" s="103" t="n">
        <v>43635</v>
      </c>
      <c r="D162" s="87" t="n">
        <v>1</v>
      </c>
      <c r="E162" s="99" t="n">
        <v>1</v>
      </c>
      <c r="F162" s="104" t="s">
        <v>178</v>
      </c>
      <c r="G162" s="109" t="s">
        <v>332</v>
      </c>
    </row>
    <row r="163" s="105" customFormat="true" ht="18" hidden="false" customHeight="true" outlineLevel="0" collapsed="false">
      <c r="A163" s="96" t="n">
        <v>104</v>
      </c>
      <c r="B163" s="102" t="s">
        <v>126</v>
      </c>
      <c r="C163" s="103" t="n">
        <v>43635</v>
      </c>
      <c r="D163" s="87" t="n">
        <v>1</v>
      </c>
      <c r="E163" s="99" t="n">
        <v>1</v>
      </c>
      <c r="F163" s="104" t="s">
        <v>178</v>
      </c>
      <c r="G163" s="109" t="s">
        <v>333</v>
      </c>
    </row>
    <row r="164" s="105" customFormat="true" ht="18" hidden="false" customHeight="true" outlineLevel="0" collapsed="false">
      <c r="A164" s="96" t="n">
        <v>104</v>
      </c>
      <c r="B164" s="102" t="s">
        <v>126</v>
      </c>
      <c r="C164" s="103" t="n">
        <v>43633</v>
      </c>
      <c r="D164" s="87" t="n">
        <v>1</v>
      </c>
      <c r="E164" s="99" t="n">
        <v>1</v>
      </c>
      <c r="F164" s="104" t="s">
        <v>178</v>
      </c>
      <c r="G164" s="109" t="s">
        <v>334</v>
      </c>
    </row>
    <row r="165" s="105" customFormat="true" ht="18" hidden="false" customHeight="true" outlineLevel="0" collapsed="false">
      <c r="A165" s="96" t="n">
        <v>104</v>
      </c>
      <c r="B165" s="102" t="s">
        <v>126</v>
      </c>
      <c r="C165" s="103" t="n">
        <v>43633</v>
      </c>
      <c r="D165" s="87" t="n">
        <v>1</v>
      </c>
      <c r="E165" s="99" t="n">
        <v>1</v>
      </c>
      <c r="F165" s="104" t="s">
        <v>178</v>
      </c>
      <c r="G165" s="110" t="s">
        <v>335</v>
      </c>
    </row>
    <row r="166" s="105" customFormat="true" ht="18" hidden="false" customHeight="true" outlineLevel="0" collapsed="false">
      <c r="A166" s="96" t="n">
        <v>104</v>
      </c>
      <c r="B166" s="102" t="s">
        <v>126</v>
      </c>
      <c r="C166" s="103" t="n">
        <v>43633</v>
      </c>
      <c r="D166" s="87" t="n">
        <v>1</v>
      </c>
      <c r="E166" s="99" t="n">
        <v>1</v>
      </c>
      <c r="F166" s="104" t="s">
        <v>178</v>
      </c>
      <c r="G166" s="110" t="s">
        <v>336</v>
      </c>
    </row>
    <row r="167" s="105" customFormat="true" ht="18" hidden="false" customHeight="true" outlineLevel="0" collapsed="false">
      <c r="A167" s="96" t="n">
        <v>104</v>
      </c>
      <c r="B167" s="102" t="s">
        <v>126</v>
      </c>
      <c r="C167" s="103" t="n">
        <v>43633</v>
      </c>
      <c r="D167" s="87" t="n">
        <v>1</v>
      </c>
      <c r="E167" s="99" t="n">
        <v>1</v>
      </c>
      <c r="F167" s="104" t="s">
        <v>178</v>
      </c>
      <c r="G167" s="110" t="s">
        <v>337</v>
      </c>
    </row>
    <row r="168" s="105" customFormat="true" ht="18" hidden="false" customHeight="true" outlineLevel="0" collapsed="false">
      <c r="A168" s="96" t="n">
        <v>104</v>
      </c>
      <c r="B168" s="102" t="s">
        <v>126</v>
      </c>
      <c r="C168" s="103" t="n">
        <v>43633</v>
      </c>
      <c r="D168" s="87" t="n">
        <v>1</v>
      </c>
      <c r="E168" s="99" t="n">
        <v>1</v>
      </c>
      <c r="F168" s="104" t="s">
        <v>178</v>
      </c>
      <c r="G168" s="110" t="s">
        <v>338</v>
      </c>
    </row>
    <row r="169" s="105" customFormat="true" ht="18" hidden="false" customHeight="true" outlineLevel="0" collapsed="false">
      <c r="A169" s="96"/>
      <c r="B169" s="102" t="e">
        <f aca="false">#N/A</f>
        <v>#N/A</v>
      </c>
      <c r="C169" s="103"/>
      <c r="D169" s="87"/>
      <c r="E169" s="99"/>
      <c r="F169" s="104" t="s">
        <v>178</v>
      </c>
      <c r="G169" s="110"/>
    </row>
    <row r="170" s="105" customFormat="true" ht="18" hidden="false" customHeight="true" outlineLevel="0" collapsed="false">
      <c r="A170" s="96" t="n">
        <v>104</v>
      </c>
      <c r="B170" s="102" t="s">
        <v>126</v>
      </c>
      <c r="C170" s="103" t="n">
        <v>43633</v>
      </c>
      <c r="D170" s="87" t="n">
        <v>1</v>
      </c>
      <c r="E170" s="99" t="n">
        <v>1</v>
      </c>
      <c r="F170" s="104" t="s">
        <v>178</v>
      </c>
      <c r="G170" s="110" t="s">
        <v>338</v>
      </c>
    </row>
    <row r="171" s="105" customFormat="true" ht="18" hidden="false" customHeight="true" outlineLevel="0" collapsed="false">
      <c r="A171" s="96" t="n">
        <v>104</v>
      </c>
      <c r="B171" s="102" t="s">
        <v>126</v>
      </c>
      <c r="C171" s="103" t="n">
        <v>43633</v>
      </c>
      <c r="D171" s="87" t="n">
        <v>1</v>
      </c>
      <c r="E171" s="99" t="n">
        <v>1</v>
      </c>
      <c r="F171" s="104" t="s">
        <v>178</v>
      </c>
      <c r="G171" s="110" t="s">
        <v>339</v>
      </c>
    </row>
    <row r="172" s="105" customFormat="true" ht="18" hidden="false" customHeight="true" outlineLevel="0" collapsed="false">
      <c r="A172" s="96" t="n">
        <v>104</v>
      </c>
      <c r="B172" s="102" t="s">
        <v>126</v>
      </c>
      <c r="C172" s="103" t="n">
        <v>43631</v>
      </c>
      <c r="D172" s="87" t="n">
        <v>1</v>
      </c>
      <c r="E172" s="99" t="n">
        <v>1</v>
      </c>
      <c r="F172" s="104" t="s">
        <v>178</v>
      </c>
      <c r="G172" s="110" t="s">
        <v>340</v>
      </c>
    </row>
    <row r="173" s="105" customFormat="true" ht="18" hidden="false" customHeight="true" outlineLevel="0" collapsed="false">
      <c r="A173" s="96" t="n">
        <v>104</v>
      </c>
      <c r="B173" s="102" t="s">
        <v>126</v>
      </c>
      <c r="C173" s="103" t="n">
        <v>43630</v>
      </c>
      <c r="D173" s="87" t="n">
        <v>1</v>
      </c>
      <c r="E173" s="99" t="n">
        <v>1</v>
      </c>
      <c r="F173" s="104" t="s">
        <v>178</v>
      </c>
      <c r="G173" s="110" t="s">
        <v>341</v>
      </c>
    </row>
    <row r="174" s="105" customFormat="true" ht="18" hidden="false" customHeight="true" outlineLevel="0" collapsed="false">
      <c r="A174" s="96" t="n">
        <v>104</v>
      </c>
      <c r="B174" s="102" t="s">
        <v>126</v>
      </c>
      <c r="C174" s="103" t="n">
        <v>43630</v>
      </c>
      <c r="D174" s="87" t="n">
        <v>1</v>
      </c>
      <c r="E174" s="99" t="n">
        <v>1</v>
      </c>
      <c r="F174" s="104" t="s">
        <v>178</v>
      </c>
      <c r="G174" s="110" t="s">
        <v>342</v>
      </c>
    </row>
    <row r="175" s="105" customFormat="true" ht="18" hidden="false" customHeight="true" outlineLevel="0" collapsed="false">
      <c r="A175" s="96" t="n">
        <v>104</v>
      </c>
      <c r="B175" s="102" t="s">
        <v>126</v>
      </c>
      <c r="C175" s="103" t="n">
        <v>43629</v>
      </c>
      <c r="D175" s="87" t="n">
        <v>1</v>
      </c>
      <c r="E175" s="99" t="n">
        <v>1</v>
      </c>
      <c r="F175" s="104" t="s">
        <v>178</v>
      </c>
      <c r="G175" s="110" t="s">
        <v>343</v>
      </c>
    </row>
    <row r="176" s="105" customFormat="true" ht="18" hidden="false" customHeight="true" outlineLevel="0" collapsed="false">
      <c r="A176" s="96" t="n">
        <v>104</v>
      </c>
      <c r="B176" s="102" t="s">
        <v>126</v>
      </c>
      <c r="C176" s="103" t="n">
        <v>43629</v>
      </c>
      <c r="D176" s="87" t="n">
        <v>1</v>
      </c>
      <c r="E176" s="99" t="n">
        <v>1</v>
      </c>
      <c r="F176" s="104" t="s">
        <v>178</v>
      </c>
      <c r="G176" s="100" t="s">
        <v>344</v>
      </c>
    </row>
    <row r="177" s="105" customFormat="true" ht="18" hidden="false" customHeight="true" outlineLevel="0" collapsed="false">
      <c r="A177" s="96" t="n">
        <v>104</v>
      </c>
      <c r="B177" s="102" t="s">
        <v>126</v>
      </c>
      <c r="C177" s="103" t="n">
        <v>43628</v>
      </c>
      <c r="D177" s="87" t="n">
        <v>1</v>
      </c>
      <c r="E177" s="99" t="n">
        <v>1</v>
      </c>
      <c r="F177" s="104" t="s">
        <v>178</v>
      </c>
      <c r="G177" s="100" t="s">
        <v>345</v>
      </c>
    </row>
    <row r="178" s="105" customFormat="true" ht="18" hidden="false" customHeight="true" outlineLevel="0" collapsed="false">
      <c r="A178" s="96" t="n">
        <v>104</v>
      </c>
      <c r="B178" s="102" t="s">
        <v>126</v>
      </c>
      <c r="C178" s="103" t="n">
        <v>43627</v>
      </c>
      <c r="D178" s="87" t="n">
        <v>1</v>
      </c>
      <c r="E178" s="99" t="n">
        <v>1</v>
      </c>
      <c r="F178" s="104" t="s">
        <v>178</v>
      </c>
      <c r="G178" s="100" t="s">
        <v>346</v>
      </c>
    </row>
    <row r="179" s="105" customFormat="true" ht="18" hidden="false" customHeight="true" outlineLevel="0" collapsed="false">
      <c r="A179" s="96" t="n">
        <v>104</v>
      </c>
      <c r="B179" s="102" t="s">
        <v>126</v>
      </c>
      <c r="C179" s="103" t="n">
        <v>43626</v>
      </c>
      <c r="D179" s="87" t="n">
        <v>1</v>
      </c>
      <c r="E179" s="99" t="n">
        <v>1</v>
      </c>
      <c r="F179" s="104" t="s">
        <v>178</v>
      </c>
      <c r="G179" s="100" t="s">
        <v>347</v>
      </c>
    </row>
    <row r="180" s="105" customFormat="true" ht="18" hidden="false" customHeight="true" outlineLevel="0" collapsed="false">
      <c r="A180" s="96" t="n">
        <v>104</v>
      </c>
      <c r="B180" s="102" t="s">
        <v>126</v>
      </c>
      <c r="C180" s="103" t="n">
        <v>43626</v>
      </c>
      <c r="D180" s="87" t="n">
        <v>1</v>
      </c>
      <c r="E180" s="99" t="n">
        <v>1</v>
      </c>
      <c r="F180" s="104" t="s">
        <v>178</v>
      </c>
      <c r="G180" s="100" t="s">
        <v>348</v>
      </c>
    </row>
    <row r="181" s="105" customFormat="true" ht="18" hidden="false" customHeight="true" outlineLevel="0" collapsed="false">
      <c r="A181" s="96" t="n">
        <v>104</v>
      </c>
      <c r="B181" s="102" t="s">
        <v>126</v>
      </c>
      <c r="C181" s="103" t="n">
        <v>43624</v>
      </c>
      <c r="D181" s="87" t="n">
        <v>1</v>
      </c>
      <c r="E181" s="99" t="n">
        <v>1</v>
      </c>
      <c r="F181" s="104" t="s">
        <v>178</v>
      </c>
      <c r="G181" s="100" t="s">
        <v>349</v>
      </c>
    </row>
    <row r="182" s="105" customFormat="true" ht="18" hidden="false" customHeight="true" outlineLevel="0" collapsed="false">
      <c r="A182" s="96" t="n">
        <v>104</v>
      </c>
      <c r="B182" s="102" t="s">
        <v>126</v>
      </c>
      <c r="C182" s="103" t="n">
        <v>43624</v>
      </c>
      <c r="D182" s="87" t="n">
        <v>1</v>
      </c>
      <c r="E182" s="99" t="n">
        <v>1</v>
      </c>
      <c r="F182" s="104" t="s">
        <v>178</v>
      </c>
      <c r="G182" s="100" t="s">
        <v>350</v>
      </c>
    </row>
    <row r="183" s="105" customFormat="true" ht="18" hidden="false" customHeight="true" outlineLevel="0" collapsed="false">
      <c r="A183" s="96" t="n">
        <v>104</v>
      </c>
      <c r="B183" s="102" t="s">
        <v>126</v>
      </c>
      <c r="C183" s="103" t="n">
        <v>43623</v>
      </c>
      <c r="D183" s="87" t="n">
        <v>1</v>
      </c>
      <c r="E183" s="99" t="n">
        <v>1</v>
      </c>
      <c r="F183" s="104" t="s">
        <v>178</v>
      </c>
      <c r="G183" s="100" t="s">
        <v>351</v>
      </c>
    </row>
    <row r="184" s="105" customFormat="true" ht="18" hidden="false" customHeight="true" outlineLevel="0" collapsed="false">
      <c r="A184" s="96" t="n">
        <v>136</v>
      </c>
      <c r="B184" s="102" t="s">
        <v>158</v>
      </c>
      <c r="C184" s="103" t="n">
        <v>43621</v>
      </c>
      <c r="D184" s="87" t="n">
        <v>1</v>
      </c>
      <c r="E184" s="99" t="n">
        <v>1</v>
      </c>
      <c r="F184" s="104" t="s">
        <v>178</v>
      </c>
      <c r="G184" s="100" t="s">
        <v>352</v>
      </c>
    </row>
    <row r="185" s="105" customFormat="true" ht="18" hidden="false" customHeight="true" outlineLevel="0" collapsed="false">
      <c r="A185" s="96" t="n">
        <v>104</v>
      </c>
      <c r="B185" s="102" t="s">
        <v>126</v>
      </c>
      <c r="C185" s="103" t="n">
        <v>43621</v>
      </c>
      <c r="D185" s="87" t="n">
        <v>1</v>
      </c>
      <c r="E185" s="99" t="n">
        <v>1</v>
      </c>
      <c r="F185" s="104" t="s">
        <v>178</v>
      </c>
      <c r="G185" s="100" t="s">
        <v>353</v>
      </c>
    </row>
    <row r="186" s="105" customFormat="true" ht="18" hidden="false" customHeight="true" outlineLevel="0" collapsed="false">
      <c r="A186" s="96" t="n">
        <v>104</v>
      </c>
      <c r="B186" s="102" t="s">
        <v>126</v>
      </c>
      <c r="C186" s="103" t="n">
        <v>43619</v>
      </c>
      <c r="D186" s="87" t="n">
        <v>1</v>
      </c>
      <c r="E186" s="99" t="n">
        <v>1</v>
      </c>
      <c r="F186" s="104" t="s">
        <v>178</v>
      </c>
      <c r="G186" s="100" t="s">
        <v>354</v>
      </c>
    </row>
    <row r="187" s="105" customFormat="true" ht="18" hidden="false" customHeight="true" outlineLevel="0" collapsed="false">
      <c r="A187" s="96" t="n">
        <v>104</v>
      </c>
      <c r="B187" s="102" t="s">
        <v>126</v>
      </c>
      <c r="C187" s="103" t="n">
        <v>43619</v>
      </c>
      <c r="D187" s="87" t="n">
        <v>1</v>
      </c>
      <c r="E187" s="99" t="n">
        <v>1</v>
      </c>
      <c r="F187" s="104" t="s">
        <v>178</v>
      </c>
      <c r="G187" s="100" t="s">
        <v>355</v>
      </c>
    </row>
    <row r="188" s="105" customFormat="true" ht="18" hidden="false" customHeight="true" outlineLevel="0" collapsed="false">
      <c r="A188" s="96" t="n">
        <v>104</v>
      </c>
      <c r="B188" s="102" t="s">
        <v>126</v>
      </c>
      <c r="C188" s="103" t="n">
        <v>43618</v>
      </c>
      <c r="D188" s="87" t="n">
        <v>1</v>
      </c>
      <c r="E188" s="99" t="n">
        <v>1</v>
      </c>
      <c r="F188" s="104" t="s">
        <v>178</v>
      </c>
      <c r="G188" s="100" t="s">
        <v>356</v>
      </c>
    </row>
    <row r="189" s="105" customFormat="true" ht="18" hidden="false" customHeight="true" outlineLevel="0" collapsed="false">
      <c r="A189" s="96" t="n">
        <v>104</v>
      </c>
      <c r="B189" s="102" t="s">
        <v>126</v>
      </c>
      <c r="C189" s="103" t="n">
        <v>43618</v>
      </c>
      <c r="D189" s="87" t="n">
        <v>1</v>
      </c>
      <c r="E189" s="99" t="n">
        <v>1</v>
      </c>
      <c r="F189" s="104" t="s">
        <v>178</v>
      </c>
      <c r="G189" s="100" t="s">
        <v>357</v>
      </c>
    </row>
    <row r="190" s="105" customFormat="true" ht="18" hidden="false" customHeight="true" outlineLevel="0" collapsed="false">
      <c r="A190" s="96" t="n">
        <v>104</v>
      </c>
      <c r="B190" s="102" t="s">
        <v>126</v>
      </c>
      <c r="C190" s="103" t="n">
        <v>43617</v>
      </c>
      <c r="D190" s="87" t="n">
        <v>1</v>
      </c>
      <c r="E190" s="99" t="n">
        <v>1</v>
      </c>
      <c r="F190" s="104" t="s">
        <v>178</v>
      </c>
      <c r="G190" s="100" t="s">
        <v>358</v>
      </c>
    </row>
    <row r="191" s="105" customFormat="true" ht="18" hidden="false" customHeight="true" outlineLevel="0" collapsed="false">
      <c r="A191" s="96" t="n">
        <v>104</v>
      </c>
      <c r="B191" s="102" t="s">
        <v>126</v>
      </c>
      <c r="C191" s="103" t="n">
        <v>43614</v>
      </c>
      <c r="D191" s="87" t="n">
        <v>1</v>
      </c>
      <c r="E191" s="99" t="n">
        <v>1</v>
      </c>
      <c r="F191" s="104" t="s">
        <v>178</v>
      </c>
      <c r="G191" s="100" t="s">
        <v>359</v>
      </c>
    </row>
    <row r="192" s="105" customFormat="true" ht="18" hidden="false" customHeight="true" outlineLevel="0" collapsed="false">
      <c r="A192" s="96" t="n">
        <v>104</v>
      </c>
      <c r="B192" s="102" t="s">
        <v>126</v>
      </c>
      <c r="C192" s="103" t="n">
        <v>43613</v>
      </c>
      <c r="D192" s="87" t="n">
        <v>1</v>
      </c>
      <c r="E192" s="99" t="n">
        <v>1</v>
      </c>
      <c r="F192" s="104" t="s">
        <v>178</v>
      </c>
      <c r="G192" s="100" t="s">
        <v>360</v>
      </c>
    </row>
    <row r="193" s="105" customFormat="true" ht="18" hidden="false" customHeight="true" outlineLevel="0" collapsed="false">
      <c r="A193" s="96" t="n">
        <v>104</v>
      </c>
      <c r="B193" s="102" t="s">
        <v>126</v>
      </c>
      <c r="C193" s="103" t="n">
        <v>43613</v>
      </c>
      <c r="D193" s="87" t="n">
        <v>1</v>
      </c>
      <c r="E193" s="99" t="n">
        <v>1</v>
      </c>
      <c r="F193" s="104" t="s">
        <v>178</v>
      </c>
      <c r="G193" s="100" t="s">
        <v>361</v>
      </c>
    </row>
    <row r="194" s="105" customFormat="true" ht="18" hidden="false" customHeight="true" outlineLevel="0" collapsed="false">
      <c r="A194" s="96" t="n">
        <v>104</v>
      </c>
      <c r="B194" s="102" t="s">
        <v>126</v>
      </c>
      <c r="C194" s="103" t="n">
        <v>43612</v>
      </c>
      <c r="D194" s="87" t="n">
        <v>3</v>
      </c>
      <c r="E194" s="99" t="n">
        <v>3</v>
      </c>
      <c r="F194" s="104" t="s">
        <v>362</v>
      </c>
      <c r="G194" s="57" t="s">
        <v>363</v>
      </c>
    </row>
    <row r="195" s="105" customFormat="true" ht="18" hidden="false" customHeight="true" outlineLevel="0" collapsed="false">
      <c r="A195" s="96" t="n">
        <v>104</v>
      </c>
      <c r="B195" s="102" t="s">
        <v>126</v>
      </c>
      <c r="C195" s="103" t="n">
        <v>43612</v>
      </c>
      <c r="D195" s="87" t="n">
        <v>1</v>
      </c>
      <c r="E195" s="99" t="n">
        <v>1</v>
      </c>
      <c r="F195" s="104" t="s">
        <v>178</v>
      </c>
      <c r="G195" s="57" t="s">
        <v>364</v>
      </c>
    </row>
    <row r="196" s="105" customFormat="true" ht="18" hidden="false" customHeight="true" outlineLevel="0" collapsed="false">
      <c r="A196" s="96" t="n">
        <v>104</v>
      </c>
      <c r="B196" s="102" t="s">
        <v>126</v>
      </c>
      <c r="C196" s="103" t="n">
        <v>43611</v>
      </c>
      <c r="D196" s="87" t="n">
        <v>1</v>
      </c>
      <c r="E196" s="99" t="n">
        <v>1</v>
      </c>
      <c r="F196" s="104" t="s">
        <v>178</v>
      </c>
      <c r="G196" s="57" t="s">
        <v>365</v>
      </c>
    </row>
    <row r="197" s="105" customFormat="true" ht="18" hidden="false" customHeight="true" outlineLevel="0" collapsed="false">
      <c r="A197" s="96" t="n">
        <v>104</v>
      </c>
      <c r="B197" s="102" t="s">
        <v>126</v>
      </c>
      <c r="C197" s="103" t="n">
        <v>43611</v>
      </c>
      <c r="D197" s="87" t="n">
        <v>1</v>
      </c>
      <c r="E197" s="99" t="n">
        <v>1</v>
      </c>
      <c r="F197" s="104" t="s">
        <v>178</v>
      </c>
      <c r="G197" s="57" t="s">
        <v>366</v>
      </c>
    </row>
    <row r="198" s="105" customFormat="true" ht="18" hidden="false" customHeight="true" outlineLevel="0" collapsed="false">
      <c r="A198" s="96" t="n">
        <v>104</v>
      </c>
      <c r="B198" s="102" t="s">
        <v>126</v>
      </c>
      <c r="C198" s="103" t="n">
        <v>43610</v>
      </c>
      <c r="D198" s="87" t="n">
        <v>1</v>
      </c>
      <c r="E198" s="99" t="n">
        <v>1</v>
      </c>
      <c r="F198" s="104" t="s">
        <v>178</v>
      </c>
      <c r="G198" s="57" t="s">
        <v>367</v>
      </c>
    </row>
    <row r="199" s="105" customFormat="true" ht="18" hidden="false" customHeight="true" outlineLevel="0" collapsed="false">
      <c r="A199" s="96" t="n">
        <v>104</v>
      </c>
      <c r="B199" s="102" t="s">
        <v>126</v>
      </c>
      <c r="C199" s="103" t="n">
        <v>43609</v>
      </c>
      <c r="D199" s="87" t="n">
        <v>1</v>
      </c>
      <c r="E199" s="99" t="n">
        <v>1</v>
      </c>
      <c r="F199" s="104" t="s">
        <v>178</v>
      </c>
      <c r="G199" s="57" t="s">
        <v>368</v>
      </c>
    </row>
    <row r="200" s="105" customFormat="true" ht="18" hidden="false" customHeight="true" outlineLevel="0" collapsed="false">
      <c r="A200" s="96" t="n">
        <v>104</v>
      </c>
      <c r="B200" s="102" t="s">
        <v>126</v>
      </c>
      <c r="C200" s="103" t="n">
        <v>43609</v>
      </c>
      <c r="D200" s="87" t="n">
        <v>1</v>
      </c>
      <c r="E200" s="99" t="n">
        <v>1</v>
      </c>
      <c r="F200" s="104" t="s">
        <v>178</v>
      </c>
      <c r="G200" s="57" t="s">
        <v>369</v>
      </c>
    </row>
    <row r="201" s="105" customFormat="true" ht="18" hidden="false" customHeight="true" outlineLevel="0" collapsed="false">
      <c r="A201" s="96" t="n">
        <v>104</v>
      </c>
      <c r="B201" s="102" t="s">
        <v>126</v>
      </c>
      <c r="C201" s="103" t="n">
        <v>43609</v>
      </c>
      <c r="D201" s="87" t="n">
        <v>1</v>
      </c>
      <c r="E201" s="99" t="n">
        <v>1</v>
      </c>
      <c r="F201" s="104" t="s">
        <v>178</v>
      </c>
      <c r="G201" s="111" t="s">
        <v>370</v>
      </c>
    </row>
    <row r="202" s="105" customFormat="true" ht="18" hidden="false" customHeight="true" outlineLevel="0" collapsed="false">
      <c r="A202" s="96" t="n">
        <v>104</v>
      </c>
      <c r="B202" s="102" t="s">
        <v>126</v>
      </c>
      <c r="C202" s="103" t="n">
        <v>43607</v>
      </c>
      <c r="D202" s="87" t="n">
        <v>1</v>
      </c>
      <c r="E202" s="99" t="n">
        <v>1</v>
      </c>
      <c r="F202" s="104" t="s">
        <v>178</v>
      </c>
      <c r="G202" s="100" t="s">
        <v>371</v>
      </c>
    </row>
    <row r="203" s="105" customFormat="true" ht="18" hidden="false" customHeight="true" outlineLevel="0" collapsed="false">
      <c r="A203" s="96" t="n">
        <v>106</v>
      </c>
      <c r="B203" s="102" t="s">
        <v>128</v>
      </c>
      <c r="C203" s="103" t="n">
        <v>43607</v>
      </c>
      <c r="D203" s="87" t="n">
        <v>1</v>
      </c>
      <c r="E203" s="99" t="n">
        <v>1</v>
      </c>
      <c r="F203" s="104" t="s">
        <v>178</v>
      </c>
      <c r="G203" s="100" t="s">
        <v>372</v>
      </c>
    </row>
    <row r="204" s="105" customFormat="true" ht="18" hidden="false" customHeight="true" outlineLevel="0" collapsed="false">
      <c r="A204" s="96" t="n">
        <v>116</v>
      </c>
      <c r="B204" s="102" t="s">
        <v>138</v>
      </c>
      <c r="C204" s="103" t="n">
        <v>43606</v>
      </c>
      <c r="D204" s="87" t="n">
        <v>1</v>
      </c>
      <c r="E204" s="99" t="n">
        <v>1</v>
      </c>
      <c r="F204" s="104" t="s">
        <v>178</v>
      </c>
      <c r="G204" s="100" t="s">
        <v>373</v>
      </c>
    </row>
    <row r="205" s="105" customFormat="true" ht="18" hidden="false" customHeight="true" outlineLevel="0" collapsed="false">
      <c r="A205" s="96" t="n">
        <v>104</v>
      </c>
      <c r="B205" s="102" t="s">
        <v>126</v>
      </c>
      <c r="C205" s="103" t="n">
        <v>43604</v>
      </c>
      <c r="D205" s="87" t="n">
        <v>1</v>
      </c>
      <c r="E205" s="99" t="n">
        <v>1</v>
      </c>
      <c r="F205" s="104" t="s">
        <v>178</v>
      </c>
      <c r="G205" s="100" t="s">
        <v>374</v>
      </c>
    </row>
    <row r="206" s="105" customFormat="true" ht="18" hidden="false" customHeight="true" outlineLevel="0" collapsed="false">
      <c r="A206" s="96" t="n">
        <v>104</v>
      </c>
      <c r="B206" s="102" t="s">
        <v>126</v>
      </c>
      <c r="C206" s="103" t="n">
        <v>43605</v>
      </c>
      <c r="D206" s="87" t="n">
        <v>3</v>
      </c>
      <c r="E206" s="99" t="n">
        <v>1</v>
      </c>
      <c r="F206" s="104" t="s">
        <v>11</v>
      </c>
      <c r="G206" s="100" t="s">
        <v>375</v>
      </c>
    </row>
    <row r="207" s="105" customFormat="true" ht="18" hidden="false" customHeight="true" outlineLevel="0" collapsed="false">
      <c r="A207" s="96" t="n">
        <v>104</v>
      </c>
      <c r="B207" s="102" t="s">
        <v>126</v>
      </c>
      <c r="C207" s="103" t="n">
        <v>43602</v>
      </c>
      <c r="D207" s="87" t="n">
        <v>1</v>
      </c>
      <c r="E207" s="99" t="n">
        <v>1</v>
      </c>
      <c r="F207" s="104" t="s">
        <v>178</v>
      </c>
      <c r="G207" s="100" t="s">
        <v>376</v>
      </c>
    </row>
    <row r="208" s="105" customFormat="true" ht="18" hidden="false" customHeight="true" outlineLevel="0" collapsed="false">
      <c r="A208" s="96" t="n">
        <v>104</v>
      </c>
      <c r="B208" s="102" t="s">
        <v>126</v>
      </c>
      <c r="C208" s="103" t="n">
        <v>43605</v>
      </c>
      <c r="D208" s="87" t="n">
        <v>1</v>
      </c>
      <c r="E208" s="99" t="n">
        <v>1</v>
      </c>
      <c r="F208" s="104" t="s">
        <v>178</v>
      </c>
      <c r="G208" s="100" t="s">
        <v>377</v>
      </c>
    </row>
    <row r="209" s="105" customFormat="true" ht="18" hidden="false" customHeight="true" outlineLevel="0" collapsed="false">
      <c r="A209" s="96" t="n">
        <v>140</v>
      </c>
      <c r="B209" s="102" t="s">
        <v>162</v>
      </c>
      <c r="C209" s="103" t="n">
        <v>43600</v>
      </c>
      <c r="D209" s="87" t="n">
        <v>1</v>
      </c>
      <c r="E209" s="99" t="n">
        <v>1</v>
      </c>
      <c r="F209" s="104" t="s">
        <v>178</v>
      </c>
      <c r="G209" s="100" t="s">
        <v>378</v>
      </c>
    </row>
    <row r="210" s="105" customFormat="true" ht="18" hidden="false" customHeight="true" outlineLevel="0" collapsed="false">
      <c r="A210" s="96" t="n">
        <v>136</v>
      </c>
      <c r="B210" s="102" t="s">
        <v>158</v>
      </c>
      <c r="C210" s="103" t="n">
        <v>43595</v>
      </c>
      <c r="D210" s="87" t="n">
        <v>1</v>
      </c>
      <c r="E210" s="99" t="n">
        <v>1</v>
      </c>
      <c r="F210" s="104" t="s">
        <v>178</v>
      </c>
      <c r="G210" s="100" t="s">
        <v>379</v>
      </c>
    </row>
    <row r="211" s="105" customFormat="true" ht="18" hidden="false" customHeight="true" outlineLevel="0" collapsed="false">
      <c r="A211" s="96" t="n">
        <v>135</v>
      </c>
      <c r="B211" s="102" t="s">
        <v>157</v>
      </c>
      <c r="C211" s="103" t="n">
        <v>43595</v>
      </c>
      <c r="D211" s="87" t="n">
        <v>1</v>
      </c>
      <c r="E211" s="99" t="n">
        <v>1</v>
      </c>
      <c r="F211" s="104" t="s">
        <v>178</v>
      </c>
      <c r="G211" s="100" t="s">
        <v>379</v>
      </c>
    </row>
    <row r="212" s="105" customFormat="true" ht="18" hidden="false" customHeight="true" outlineLevel="0" collapsed="false">
      <c r="A212" s="96" t="n">
        <v>133</v>
      </c>
      <c r="B212" s="102" t="s">
        <v>155</v>
      </c>
      <c r="C212" s="103" t="n">
        <v>43595</v>
      </c>
      <c r="D212" s="87" t="n">
        <v>1</v>
      </c>
      <c r="E212" s="99" t="n">
        <v>1</v>
      </c>
      <c r="F212" s="104" t="s">
        <v>178</v>
      </c>
      <c r="G212" s="100" t="s">
        <v>379</v>
      </c>
    </row>
    <row r="213" s="105" customFormat="true" ht="18" hidden="false" customHeight="true" outlineLevel="0" collapsed="false">
      <c r="A213" s="96" t="n">
        <v>104</v>
      </c>
      <c r="B213" s="102" t="s">
        <v>126</v>
      </c>
      <c r="C213" s="103" t="n">
        <v>43598</v>
      </c>
      <c r="D213" s="87" t="n">
        <v>1</v>
      </c>
      <c r="E213" s="99" t="n">
        <v>1</v>
      </c>
      <c r="F213" s="104" t="s">
        <v>178</v>
      </c>
      <c r="G213" s="100" t="s">
        <v>380</v>
      </c>
    </row>
    <row r="214" s="105" customFormat="true" ht="18" hidden="false" customHeight="true" outlineLevel="0" collapsed="false">
      <c r="A214" s="96" t="n">
        <v>104</v>
      </c>
      <c r="B214" s="102" t="s">
        <v>126</v>
      </c>
      <c r="C214" s="103" t="n">
        <v>43598</v>
      </c>
      <c r="D214" s="87" t="n">
        <v>1</v>
      </c>
      <c r="E214" s="99" t="n">
        <v>1</v>
      </c>
      <c r="F214" s="104" t="s">
        <v>178</v>
      </c>
      <c r="G214" s="100" t="s">
        <v>381</v>
      </c>
    </row>
    <row r="215" s="105" customFormat="true" ht="18" hidden="false" customHeight="true" outlineLevel="0" collapsed="false">
      <c r="A215" s="96" t="n">
        <v>104</v>
      </c>
      <c r="B215" s="102" t="s">
        <v>126</v>
      </c>
      <c r="C215" s="103" t="n">
        <v>43596</v>
      </c>
      <c r="D215" s="87" t="n">
        <v>1</v>
      </c>
      <c r="E215" s="99" t="n">
        <v>1</v>
      </c>
      <c r="F215" s="104" t="s">
        <v>178</v>
      </c>
      <c r="G215" s="100" t="s">
        <v>382</v>
      </c>
    </row>
    <row r="216" s="105" customFormat="true" ht="18" hidden="false" customHeight="true" outlineLevel="0" collapsed="false">
      <c r="A216" s="96" t="n">
        <v>104</v>
      </c>
      <c r="B216" s="102" t="s">
        <v>126</v>
      </c>
      <c r="C216" s="103" t="n">
        <v>43596</v>
      </c>
      <c r="D216" s="87" t="n">
        <v>1</v>
      </c>
      <c r="E216" s="99" t="n">
        <v>1</v>
      </c>
      <c r="F216" s="104" t="s">
        <v>178</v>
      </c>
      <c r="G216" s="100" t="s">
        <v>383</v>
      </c>
    </row>
    <row r="217" s="105" customFormat="true" ht="18" hidden="false" customHeight="true" outlineLevel="0" collapsed="false">
      <c r="A217" s="96" t="n">
        <v>104</v>
      </c>
      <c r="B217" s="102" t="s">
        <v>126</v>
      </c>
      <c r="C217" s="103" t="n">
        <v>43596</v>
      </c>
      <c r="D217" s="87" t="n">
        <v>1</v>
      </c>
      <c r="E217" s="99" t="n">
        <v>1</v>
      </c>
      <c r="F217" s="104" t="s">
        <v>178</v>
      </c>
      <c r="G217" s="100" t="s">
        <v>384</v>
      </c>
    </row>
    <row r="218" s="105" customFormat="true" ht="18" hidden="false" customHeight="true" outlineLevel="0" collapsed="false">
      <c r="A218" s="96" t="n">
        <v>104</v>
      </c>
      <c r="B218" s="102" t="s">
        <v>126</v>
      </c>
      <c r="C218" s="103" t="n">
        <v>43596</v>
      </c>
      <c r="D218" s="87" t="n">
        <v>1</v>
      </c>
      <c r="E218" s="99" t="n">
        <v>1</v>
      </c>
      <c r="F218" s="104" t="s">
        <v>178</v>
      </c>
      <c r="G218" s="100" t="s">
        <v>385</v>
      </c>
    </row>
    <row r="219" s="105" customFormat="true" ht="18" hidden="false" customHeight="true" outlineLevel="0" collapsed="false">
      <c r="A219" s="96" t="n">
        <v>104</v>
      </c>
      <c r="B219" s="102" t="s">
        <v>126</v>
      </c>
      <c r="C219" s="103" t="n">
        <v>43594</v>
      </c>
      <c r="D219" s="87" t="n">
        <v>1</v>
      </c>
      <c r="E219" s="99" t="n">
        <v>1</v>
      </c>
      <c r="F219" s="104" t="s">
        <v>178</v>
      </c>
      <c r="G219" s="100" t="s">
        <v>386</v>
      </c>
    </row>
    <row r="220" s="105" customFormat="true" ht="18" hidden="false" customHeight="true" outlineLevel="0" collapsed="false">
      <c r="A220" s="96" t="n">
        <v>104</v>
      </c>
      <c r="B220" s="102" t="s">
        <v>126</v>
      </c>
      <c r="C220" s="103" t="n">
        <v>43594</v>
      </c>
      <c r="D220" s="87" t="n">
        <v>1</v>
      </c>
      <c r="E220" s="99" t="n">
        <v>1</v>
      </c>
      <c r="F220" s="104" t="s">
        <v>178</v>
      </c>
      <c r="G220" s="100" t="s">
        <v>387</v>
      </c>
    </row>
    <row r="221" s="105" customFormat="true" ht="18" hidden="false" customHeight="true" outlineLevel="0" collapsed="false">
      <c r="A221" s="96" t="n">
        <v>104</v>
      </c>
      <c r="B221" s="102" t="s">
        <v>126</v>
      </c>
      <c r="C221" s="103" t="n">
        <v>43594</v>
      </c>
      <c r="D221" s="87" t="n">
        <v>1</v>
      </c>
      <c r="E221" s="99" t="n">
        <v>1</v>
      </c>
      <c r="F221" s="104" t="s">
        <v>178</v>
      </c>
      <c r="G221" s="100" t="s">
        <v>388</v>
      </c>
    </row>
    <row r="222" s="105" customFormat="true" ht="18" hidden="false" customHeight="true" outlineLevel="0" collapsed="false">
      <c r="A222" s="96" t="n">
        <v>132</v>
      </c>
      <c r="B222" s="102" t="s">
        <v>154</v>
      </c>
      <c r="C222" s="103" t="n">
        <v>43594</v>
      </c>
      <c r="D222" s="87" t="n">
        <v>1</v>
      </c>
      <c r="E222" s="99" t="n">
        <v>1</v>
      </c>
      <c r="F222" s="104" t="s">
        <v>178</v>
      </c>
      <c r="G222" s="100" t="s">
        <v>389</v>
      </c>
    </row>
    <row r="223" s="105" customFormat="true" ht="18" hidden="false" customHeight="true" outlineLevel="0" collapsed="false">
      <c r="A223" s="96" t="n">
        <v>104</v>
      </c>
      <c r="B223" s="102" t="s">
        <v>126</v>
      </c>
      <c r="C223" s="103" t="n">
        <v>43592</v>
      </c>
      <c r="D223" s="87" t="n">
        <v>1</v>
      </c>
      <c r="E223" s="99" t="n">
        <v>1</v>
      </c>
      <c r="F223" s="104" t="s">
        <v>178</v>
      </c>
      <c r="G223" s="100" t="s">
        <v>390</v>
      </c>
    </row>
    <row r="224" s="105" customFormat="true" ht="18" hidden="false" customHeight="true" outlineLevel="0" collapsed="false">
      <c r="A224" s="96" t="n">
        <v>104</v>
      </c>
      <c r="B224" s="102" t="s">
        <v>126</v>
      </c>
      <c r="C224" s="103" t="n">
        <v>43592</v>
      </c>
      <c r="D224" s="87" t="n">
        <v>1</v>
      </c>
      <c r="E224" s="99" t="n">
        <v>1</v>
      </c>
      <c r="F224" s="104" t="s">
        <v>178</v>
      </c>
      <c r="G224" s="100" t="s">
        <v>391</v>
      </c>
    </row>
    <row r="225" s="105" customFormat="true" ht="18" hidden="false" customHeight="true" outlineLevel="0" collapsed="false">
      <c r="A225" s="96" t="n">
        <v>137</v>
      </c>
      <c r="B225" s="102" t="s">
        <v>159</v>
      </c>
      <c r="C225" s="103" t="n">
        <v>43591</v>
      </c>
      <c r="D225" s="87" t="n">
        <v>1</v>
      </c>
      <c r="E225" s="99" t="n">
        <v>1</v>
      </c>
      <c r="F225" s="104" t="s">
        <v>178</v>
      </c>
      <c r="G225" s="100" t="s">
        <v>392</v>
      </c>
    </row>
    <row r="226" s="105" customFormat="true" ht="18" hidden="false" customHeight="true" outlineLevel="0" collapsed="false">
      <c r="A226" s="96" t="n">
        <v>104</v>
      </c>
      <c r="B226" s="102" t="s">
        <v>126</v>
      </c>
      <c r="C226" s="103" t="n">
        <v>43591</v>
      </c>
      <c r="D226" s="87" t="n">
        <v>1</v>
      </c>
      <c r="E226" s="99" t="n">
        <v>1</v>
      </c>
      <c r="F226" s="104" t="s">
        <v>178</v>
      </c>
      <c r="G226" s="100" t="s">
        <v>393</v>
      </c>
    </row>
    <row r="227" s="105" customFormat="true" ht="18" hidden="false" customHeight="true" outlineLevel="0" collapsed="false">
      <c r="A227" s="96" t="n">
        <v>104</v>
      </c>
      <c r="B227" s="102" t="s">
        <v>126</v>
      </c>
      <c r="C227" s="103" t="n">
        <v>43591</v>
      </c>
      <c r="D227" s="87" t="n">
        <v>1</v>
      </c>
      <c r="E227" s="99" t="n">
        <v>1</v>
      </c>
      <c r="F227" s="104" t="s">
        <v>178</v>
      </c>
      <c r="G227" s="100" t="s">
        <v>394</v>
      </c>
    </row>
    <row r="228" s="105" customFormat="true" ht="18" hidden="false" customHeight="true" outlineLevel="0" collapsed="false">
      <c r="A228" s="96" t="n">
        <v>104</v>
      </c>
      <c r="B228" s="102" t="s">
        <v>126</v>
      </c>
      <c r="C228" s="103" t="n">
        <v>43588</v>
      </c>
      <c r="D228" s="87" t="n">
        <v>1</v>
      </c>
      <c r="E228" s="99" t="n">
        <v>1</v>
      </c>
      <c r="F228" s="104" t="s">
        <v>178</v>
      </c>
      <c r="G228" s="100" t="s">
        <v>395</v>
      </c>
    </row>
    <row r="229" s="105" customFormat="true" ht="18" hidden="false" customHeight="true" outlineLevel="0" collapsed="false">
      <c r="A229" s="96" t="n">
        <v>128</v>
      </c>
      <c r="B229" s="102" t="s">
        <v>150</v>
      </c>
      <c r="C229" s="103" t="n">
        <v>43588</v>
      </c>
      <c r="D229" s="87" t="n">
        <v>1</v>
      </c>
      <c r="E229" s="99" t="n">
        <v>1</v>
      </c>
      <c r="F229" s="104" t="s">
        <v>178</v>
      </c>
      <c r="G229" s="100" t="s">
        <v>396</v>
      </c>
    </row>
    <row r="230" s="105" customFormat="true" ht="18" hidden="false" customHeight="true" outlineLevel="0" collapsed="false">
      <c r="A230" s="96" t="n">
        <v>104</v>
      </c>
      <c r="B230" s="102" t="s">
        <v>126</v>
      </c>
      <c r="C230" s="103" t="n">
        <v>43587</v>
      </c>
      <c r="D230" s="87" t="n">
        <v>1</v>
      </c>
      <c r="E230" s="99" t="n">
        <v>1</v>
      </c>
      <c r="F230" s="104" t="s">
        <v>178</v>
      </c>
      <c r="G230" s="100" t="s">
        <v>397</v>
      </c>
    </row>
    <row r="231" s="105" customFormat="true" ht="18" hidden="false" customHeight="true" outlineLevel="0" collapsed="false">
      <c r="A231" s="96" t="n">
        <v>104</v>
      </c>
      <c r="B231" s="102" t="s">
        <v>126</v>
      </c>
      <c r="C231" s="103" t="n">
        <v>43585</v>
      </c>
      <c r="D231" s="87" t="n">
        <v>1</v>
      </c>
      <c r="E231" s="99" t="n">
        <v>1</v>
      </c>
      <c r="F231" s="104" t="s">
        <v>178</v>
      </c>
      <c r="G231" s="100" t="s">
        <v>398</v>
      </c>
    </row>
    <row r="232" s="105" customFormat="true" ht="18" hidden="false" customHeight="true" outlineLevel="0" collapsed="false">
      <c r="A232" s="96" t="n">
        <v>139</v>
      </c>
      <c r="B232" s="102" t="s">
        <v>161</v>
      </c>
      <c r="C232" s="103" t="n">
        <v>43584</v>
      </c>
      <c r="D232" s="87" t="n">
        <v>1</v>
      </c>
      <c r="E232" s="99" t="n">
        <v>1</v>
      </c>
      <c r="F232" s="104" t="s">
        <v>178</v>
      </c>
      <c r="G232" s="100" t="s">
        <v>399</v>
      </c>
    </row>
    <row r="233" s="105" customFormat="true" ht="18" hidden="false" customHeight="true" outlineLevel="0" collapsed="false">
      <c r="A233" s="96" t="n">
        <v>104</v>
      </c>
      <c r="B233" s="102" t="s">
        <v>126</v>
      </c>
      <c r="C233" s="103" t="n">
        <v>43584</v>
      </c>
      <c r="D233" s="87" t="n">
        <v>1</v>
      </c>
      <c r="E233" s="99" t="n">
        <v>1</v>
      </c>
      <c r="F233" s="104" t="s">
        <v>178</v>
      </c>
      <c r="G233" s="100" t="s">
        <v>400</v>
      </c>
    </row>
    <row r="234" s="105" customFormat="true" ht="18" hidden="false" customHeight="true" outlineLevel="0" collapsed="false">
      <c r="A234" s="96" t="n">
        <v>104</v>
      </c>
      <c r="B234" s="102" t="s">
        <v>126</v>
      </c>
      <c r="C234" s="103" t="n">
        <v>43583</v>
      </c>
      <c r="D234" s="87" t="n">
        <v>1</v>
      </c>
      <c r="E234" s="99" t="n">
        <v>1</v>
      </c>
      <c r="F234" s="104" t="s">
        <v>178</v>
      </c>
      <c r="G234" s="100" t="s">
        <v>401</v>
      </c>
    </row>
    <row r="235" s="105" customFormat="true" ht="18" hidden="false" customHeight="true" outlineLevel="0" collapsed="false">
      <c r="A235" s="96" t="n">
        <v>104</v>
      </c>
      <c r="B235" s="102" t="s">
        <v>126</v>
      </c>
      <c r="C235" s="103" t="n">
        <v>43583</v>
      </c>
      <c r="D235" s="87" t="n">
        <v>1</v>
      </c>
      <c r="E235" s="99" t="n">
        <v>1</v>
      </c>
      <c r="F235" s="104" t="s">
        <v>178</v>
      </c>
      <c r="G235" s="100" t="s">
        <v>402</v>
      </c>
    </row>
    <row r="236" s="105" customFormat="true" ht="18" hidden="false" customHeight="true" outlineLevel="0" collapsed="false">
      <c r="A236" s="96" t="n">
        <v>128</v>
      </c>
      <c r="B236" s="102" t="s">
        <v>150</v>
      </c>
      <c r="C236" s="103"/>
      <c r="D236" s="87"/>
      <c r="E236" s="99" t="n">
        <v>1</v>
      </c>
      <c r="F236" s="104" t="s">
        <v>178</v>
      </c>
      <c r="G236" s="100" t="s">
        <v>403</v>
      </c>
    </row>
    <row r="237" s="105" customFormat="true" ht="18" hidden="false" customHeight="true" outlineLevel="0" collapsed="false">
      <c r="A237" s="96" t="n">
        <v>104</v>
      </c>
      <c r="B237" s="102" t="s">
        <v>126</v>
      </c>
      <c r="C237" s="103" t="n">
        <v>43581</v>
      </c>
      <c r="D237" s="87" t="n">
        <v>1</v>
      </c>
      <c r="E237" s="99" t="n">
        <v>1</v>
      </c>
      <c r="F237" s="104" t="s">
        <v>178</v>
      </c>
      <c r="G237" s="100" t="s">
        <v>404</v>
      </c>
    </row>
    <row r="238" s="105" customFormat="true" ht="18" hidden="false" customHeight="true" outlineLevel="0" collapsed="false">
      <c r="A238" s="96" t="n">
        <v>106</v>
      </c>
      <c r="B238" s="102" t="s">
        <v>128</v>
      </c>
      <c r="C238" s="103" t="n">
        <v>43581</v>
      </c>
      <c r="D238" s="87" t="n">
        <v>1</v>
      </c>
      <c r="E238" s="99" t="n">
        <v>1</v>
      </c>
      <c r="F238" s="104" t="s">
        <v>178</v>
      </c>
      <c r="G238" s="100" t="s">
        <v>405</v>
      </c>
    </row>
    <row r="239" s="105" customFormat="true" ht="18" hidden="false" customHeight="true" outlineLevel="0" collapsed="false">
      <c r="A239" s="96" t="n">
        <v>104</v>
      </c>
      <c r="B239" s="102" t="s">
        <v>126</v>
      </c>
      <c r="C239" s="103" t="n">
        <v>43580</v>
      </c>
      <c r="D239" s="87" t="n">
        <v>2</v>
      </c>
      <c r="E239" s="99" t="n">
        <v>1</v>
      </c>
      <c r="F239" s="104" t="s">
        <v>178</v>
      </c>
      <c r="G239" s="100" t="s">
        <v>406</v>
      </c>
    </row>
    <row r="240" s="105" customFormat="true" ht="18" hidden="false" customHeight="true" outlineLevel="0" collapsed="false">
      <c r="A240" s="96" t="n">
        <v>104</v>
      </c>
      <c r="B240" s="102" t="s">
        <v>126</v>
      </c>
      <c r="C240" s="103" t="n">
        <v>43580</v>
      </c>
      <c r="D240" s="87" t="n">
        <v>2</v>
      </c>
      <c r="E240" s="99" t="n">
        <v>2</v>
      </c>
      <c r="F240" s="104" t="s">
        <v>178</v>
      </c>
      <c r="G240" s="100" t="s">
        <v>407</v>
      </c>
    </row>
    <row r="241" s="105" customFormat="true" ht="18" hidden="false" customHeight="true" outlineLevel="0" collapsed="false">
      <c r="A241" s="96" t="n">
        <v>104</v>
      </c>
      <c r="B241" s="102" t="s">
        <v>126</v>
      </c>
      <c r="C241" s="103" t="n">
        <v>43579</v>
      </c>
      <c r="D241" s="87" t="n">
        <v>3</v>
      </c>
      <c r="E241" s="99" t="n">
        <v>1</v>
      </c>
      <c r="F241" s="104" t="s">
        <v>178</v>
      </c>
      <c r="G241" s="100" t="s">
        <v>408</v>
      </c>
    </row>
    <row r="242" s="105" customFormat="true" ht="18" hidden="false" customHeight="true" outlineLevel="0" collapsed="false">
      <c r="A242" s="96" t="n">
        <v>104</v>
      </c>
      <c r="B242" s="102" t="s">
        <v>126</v>
      </c>
      <c r="C242" s="103" t="n">
        <v>43578</v>
      </c>
      <c r="D242" s="87" t="n">
        <v>1</v>
      </c>
      <c r="E242" s="99" t="n">
        <v>1</v>
      </c>
      <c r="F242" s="104" t="s">
        <v>178</v>
      </c>
      <c r="G242" s="100" t="s">
        <v>409</v>
      </c>
    </row>
    <row r="243" s="105" customFormat="true" ht="18" hidden="false" customHeight="true" outlineLevel="0" collapsed="false">
      <c r="A243" s="96" t="n">
        <v>104</v>
      </c>
      <c r="B243" s="102" t="s">
        <v>126</v>
      </c>
      <c r="C243" s="103" t="n">
        <v>43578</v>
      </c>
      <c r="D243" s="87" t="n">
        <v>1</v>
      </c>
      <c r="E243" s="99" t="n">
        <v>1</v>
      </c>
      <c r="F243" s="104" t="s">
        <v>178</v>
      </c>
      <c r="G243" s="100" t="s">
        <v>410</v>
      </c>
    </row>
    <row r="244" s="105" customFormat="true" ht="18" hidden="false" customHeight="true" outlineLevel="0" collapsed="false">
      <c r="A244" s="96" t="n">
        <v>104</v>
      </c>
      <c r="B244" s="102" t="s">
        <v>126</v>
      </c>
      <c r="C244" s="103" t="n">
        <v>43577</v>
      </c>
      <c r="D244" s="87" t="n">
        <v>2</v>
      </c>
      <c r="E244" s="99" t="n">
        <v>1</v>
      </c>
      <c r="F244" s="104" t="s">
        <v>178</v>
      </c>
      <c r="G244" s="100" t="s">
        <v>411</v>
      </c>
    </row>
    <row r="245" s="105" customFormat="true" ht="18" hidden="false" customHeight="true" outlineLevel="0" collapsed="false">
      <c r="A245" s="96" t="n">
        <v>104</v>
      </c>
      <c r="B245" s="102" t="s">
        <v>126</v>
      </c>
      <c r="C245" s="103" t="n">
        <v>43575</v>
      </c>
      <c r="D245" s="87" t="n">
        <v>1</v>
      </c>
      <c r="E245" s="99" t="n">
        <v>1</v>
      </c>
      <c r="F245" s="104" t="s">
        <v>178</v>
      </c>
      <c r="G245" s="100" t="s">
        <v>412</v>
      </c>
    </row>
    <row r="246" s="105" customFormat="true" ht="18" hidden="false" customHeight="true" outlineLevel="0" collapsed="false">
      <c r="A246" s="96" t="n">
        <v>104</v>
      </c>
      <c r="B246" s="102" t="s">
        <v>126</v>
      </c>
      <c r="C246" s="103" t="n">
        <v>43575</v>
      </c>
      <c r="D246" s="87" t="n">
        <v>1</v>
      </c>
      <c r="E246" s="99" t="n">
        <v>1</v>
      </c>
      <c r="F246" s="104" t="s">
        <v>178</v>
      </c>
      <c r="G246" s="100" t="s">
        <v>413</v>
      </c>
    </row>
    <row r="247" s="105" customFormat="true" ht="18" hidden="false" customHeight="true" outlineLevel="0" collapsed="false">
      <c r="A247" s="96" t="n">
        <v>104</v>
      </c>
      <c r="B247" s="102" t="s">
        <v>126</v>
      </c>
      <c r="C247" s="103" t="n">
        <v>43575</v>
      </c>
      <c r="D247" s="87" t="n">
        <v>1</v>
      </c>
      <c r="E247" s="99" t="n">
        <v>1</v>
      </c>
      <c r="F247" s="104" t="s">
        <v>178</v>
      </c>
      <c r="G247" s="100" t="s">
        <v>414</v>
      </c>
    </row>
    <row r="248" s="105" customFormat="true" ht="18" hidden="false" customHeight="true" outlineLevel="0" collapsed="false">
      <c r="A248" s="96" t="n">
        <v>104</v>
      </c>
      <c r="B248" s="102" t="s">
        <v>126</v>
      </c>
      <c r="C248" s="103" t="n">
        <v>43573</v>
      </c>
      <c r="D248" s="87" t="n">
        <v>1</v>
      </c>
      <c r="E248" s="99" t="n">
        <v>1</v>
      </c>
      <c r="F248" s="104" t="s">
        <v>178</v>
      </c>
      <c r="G248" s="100" t="s">
        <v>415</v>
      </c>
    </row>
    <row r="249" s="105" customFormat="true" ht="18" hidden="false" customHeight="true" outlineLevel="0" collapsed="false">
      <c r="A249" s="96" t="n">
        <v>104</v>
      </c>
      <c r="B249" s="102" t="s">
        <v>126</v>
      </c>
      <c r="C249" s="103" t="n">
        <v>43572</v>
      </c>
      <c r="D249" s="87" t="n">
        <v>1</v>
      </c>
      <c r="E249" s="99" t="n">
        <v>1</v>
      </c>
      <c r="F249" s="104" t="s">
        <v>178</v>
      </c>
      <c r="G249" s="100" t="s">
        <v>416</v>
      </c>
    </row>
    <row r="250" s="105" customFormat="true" ht="18" hidden="false" customHeight="true" outlineLevel="0" collapsed="false">
      <c r="A250" s="96" t="n">
        <v>104</v>
      </c>
      <c r="B250" s="102" t="s">
        <v>126</v>
      </c>
      <c r="C250" s="103" t="n">
        <v>43572</v>
      </c>
      <c r="D250" s="87" t="n">
        <v>1</v>
      </c>
      <c r="E250" s="99" t="n">
        <v>1</v>
      </c>
      <c r="F250" s="104" t="s">
        <v>178</v>
      </c>
      <c r="G250" s="100" t="s">
        <v>417</v>
      </c>
    </row>
    <row r="251" s="105" customFormat="true" ht="18" hidden="false" customHeight="true" outlineLevel="0" collapsed="false">
      <c r="A251" s="96" t="n">
        <v>104</v>
      </c>
      <c r="B251" s="102" t="s">
        <v>126</v>
      </c>
      <c r="C251" s="103" t="n">
        <v>43572</v>
      </c>
      <c r="D251" s="87" t="n">
        <v>1</v>
      </c>
      <c r="E251" s="99" t="n">
        <v>1</v>
      </c>
      <c r="F251" s="104" t="s">
        <v>178</v>
      </c>
      <c r="G251" s="100" t="s">
        <v>418</v>
      </c>
    </row>
    <row r="252" s="105" customFormat="true" ht="18" hidden="false" customHeight="true" outlineLevel="0" collapsed="false">
      <c r="A252" s="96" t="n">
        <v>104</v>
      </c>
      <c r="B252" s="102" t="s">
        <v>126</v>
      </c>
      <c r="C252" s="103" t="n">
        <v>43572</v>
      </c>
      <c r="D252" s="87" t="n">
        <v>1</v>
      </c>
      <c r="E252" s="99" t="n">
        <v>1</v>
      </c>
      <c r="F252" s="104" t="s">
        <v>178</v>
      </c>
      <c r="G252" s="100" t="s">
        <v>419</v>
      </c>
    </row>
    <row r="253" s="105" customFormat="true" ht="18" hidden="false" customHeight="true" outlineLevel="0" collapsed="false">
      <c r="A253" s="96" t="n">
        <v>104</v>
      </c>
      <c r="B253" s="102" t="s">
        <v>126</v>
      </c>
      <c r="C253" s="103" t="n">
        <v>43571</v>
      </c>
      <c r="D253" s="87" t="n">
        <v>1</v>
      </c>
      <c r="E253" s="99" t="n">
        <v>1</v>
      </c>
      <c r="F253" s="104" t="s">
        <v>178</v>
      </c>
      <c r="G253" s="100" t="s">
        <v>420</v>
      </c>
    </row>
    <row r="254" s="105" customFormat="true" ht="18" hidden="false" customHeight="true" outlineLevel="0" collapsed="false">
      <c r="A254" s="96" t="n">
        <v>104</v>
      </c>
      <c r="B254" s="102" t="s">
        <v>126</v>
      </c>
      <c r="C254" s="103" t="n">
        <v>43571</v>
      </c>
      <c r="D254" s="87" t="n">
        <v>1</v>
      </c>
      <c r="E254" s="99" t="n">
        <v>1</v>
      </c>
      <c r="F254" s="104" t="s">
        <v>178</v>
      </c>
      <c r="G254" s="100" t="s">
        <v>421</v>
      </c>
    </row>
    <row r="255" s="105" customFormat="true" ht="18" hidden="false" customHeight="true" outlineLevel="0" collapsed="false">
      <c r="A255" s="96" t="n">
        <v>104</v>
      </c>
      <c r="B255" s="102" t="s">
        <v>126</v>
      </c>
      <c r="C255" s="103" t="n">
        <v>43571</v>
      </c>
      <c r="D255" s="87" t="n">
        <v>1</v>
      </c>
      <c r="E255" s="99" t="n">
        <v>1</v>
      </c>
      <c r="F255" s="104" t="s">
        <v>178</v>
      </c>
      <c r="G255" s="100" t="s">
        <v>422</v>
      </c>
    </row>
    <row r="256" s="105" customFormat="true" ht="18" hidden="false" customHeight="true" outlineLevel="0" collapsed="false">
      <c r="A256" s="96" t="n">
        <v>104</v>
      </c>
      <c r="B256" s="102" t="s">
        <v>126</v>
      </c>
      <c r="C256" s="103" t="n">
        <v>43571</v>
      </c>
      <c r="D256" s="87" t="n">
        <v>2</v>
      </c>
      <c r="E256" s="99" t="n">
        <v>1</v>
      </c>
      <c r="F256" s="104" t="s">
        <v>178</v>
      </c>
      <c r="G256" s="100" t="s">
        <v>423</v>
      </c>
    </row>
    <row r="257" s="105" customFormat="true" ht="18" hidden="false" customHeight="true" outlineLevel="0" collapsed="false">
      <c r="A257" s="96" t="n">
        <v>104</v>
      </c>
      <c r="B257" s="102" t="s">
        <v>126</v>
      </c>
      <c r="C257" s="103" t="n">
        <v>43570</v>
      </c>
      <c r="D257" s="87" t="n">
        <v>1</v>
      </c>
      <c r="E257" s="99" t="n">
        <v>1</v>
      </c>
      <c r="F257" s="104" t="s">
        <v>178</v>
      </c>
      <c r="G257" s="100" t="s">
        <v>424</v>
      </c>
    </row>
    <row r="258" s="105" customFormat="true" ht="18" hidden="false" customHeight="true" outlineLevel="0" collapsed="false">
      <c r="A258" s="96" t="n">
        <v>104</v>
      </c>
      <c r="B258" s="102" t="s">
        <v>126</v>
      </c>
      <c r="C258" s="103" t="n">
        <v>43567</v>
      </c>
      <c r="D258" s="87" t="n">
        <v>1</v>
      </c>
      <c r="E258" s="99" t="n">
        <v>1</v>
      </c>
      <c r="F258" s="104" t="s">
        <v>178</v>
      </c>
      <c r="G258" s="100" t="s">
        <v>425</v>
      </c>
    </row>
    <row r="259" s="105" customFormat="true" ht="18" hidden="false" customHeight="true" outlineLevel="0" collapsed="false">
      <c r="A259" s="96" t="n">
        <v>116</v>
      </c>
      <c r="B259" s="102" t="s">
        <v>138</v>
      </c>
      <c r="C259" s="103" t="n">
        <v>43567</v>
      </c>
      <c r="D259" s="87" t="n">
        <v>1</v>
      </c>
      <c r="E259" s="99" t="n">
        <v>1</v>
      </c>
      <c r="F259" s="104" t="s">
        <v>178</v>
      </c>
      <c r="G259" s="100" t="s">
        <v>426</v>
      </c>
    </row>
    <row r="260" s="105" customFormat="true" ht="18" hidden="false" customHeight="true" outlineLevel="0" collapsed="false">
      <c r="A260" s="96" t="n">
        <v>104</v>
      </c>
      <c r="B260" s="102" t="s">
        <v>126</v>
      </c>
      <c r="C260" s="103" t="n">
        <v>43567</v>
      </c>
      <c r="D260" s="87" t="n">
        <v>1</v>
      </c>
      <c r="E260" s="99" t="n">
        <v>1</v>
      </c>
      <c r="F260" s="104" t="s">
        <v>178</v>
      </c>
      <c r="G260" s="100" t="s">
        <v>427</v>
      </c>
    </row>
    <row r="261" s="105" customFormat="true" ht="18" hidden="false" customHeight="true" outlineLevel="0" collapsed="false">
      <c r="A261" s="96" t="n">
        <v>104</v>
      </c>
      <c r="B261" s="102" t="s">
        <v>126</v>
      </c>
      <c r="C261" s="103" t="n">
        <v>43567</v>
      </c>
      <c r="D261" s="87" t="n">
        <v>1</v>
      </c>
      <c r="E261" s="99" t="n">
        <v>1</v>
      </c>
      <c r="F261" s="104" t="s">
        <v>178</v>
      </c>
      <c r="G261" s="100" t="s">
        <v>428</v>
      </c>
    </row>
    <row r="262" s="105" customFormat="true" ht="18" hidden="false" customHeight="true" outlineLevel="0" collapsed="false">
      <c r="A262" s="96" t="n">
        <v>104</v>
      </c>
      <c r="B262" s="102" t="s">
        <v>126</v>
      </c>
      <c r="C262" s="103" t="n">
        <v>43567</v>
      </c>
      <c r="D262" s="87" t="n">
        <v>1</v>
      </c>
      <c r="E262" s="99" t="n">
        <v>1</v>
      </c>
      <c r="F262" s="104" t="s">
        <v>178</v>
      </c>
      <c r="G262" s="100" t="s">
        <v>429</v>
      </c>
    </row>
    <row r="263" s="105" customFormat="true" ht="18" hidden="false" customHeight="true" outlineLevel="0" collapsed="false">
      <c r="A263" s="96" t="n">
        <v>104</v>
      </c>
      <c r="B263" s="102" t="s">
        <v>126</v>
      </c>
      <c r="C263" s="103" t="n">
        <v>43567</v>
      </c>
      <c r="D263" s="87" t="n">
        <v>1</v>
      </c>
      <c r="E263" s="99" t="n">
        <v>1</v>
      </c>
      <c r="F263" s="104" t="s">
        <v>178</v>
      </c>
      <c r="G263" s="100" t="s">
        <v>430</v>
      </c>
    </row>
    <row r="264" s="105" customFormat="true" ht="18" hidden="false" customHeight="true" outlineLevel="0" collapsed="false">
      <c r="A264" s="96" t="n">
        <v>104</v>
      </c>
      <c r="B264" s="102" t="s">
        <v>126</v>
      </c>
      <c r="C264" s="103" t="n">
        <v>43567</v>
      </c>
      <c r="D264" s="87" t="n">
        <v>3</v>
      </c>
      <c r="E264" s="99" t="n">
        <v>1</v>
      </c>
      <c r="F264" s="104" t="s">
        <v>178</v>
      </c>
      <c r="G264" s="100" t="s">
        <v>431</v>
      </c>
    </row>
    <row r="265" s="105" customFormat="true" ht="18" hidden="false" customHeight="true" outlineLevel="0" collapsed="false">
      <c r="A265" s="96" t="n">
        <v>104</v>
      </c>
      <c r="B265" s="102" t="s">
        <v>126</v>
      </c>
      <c r="C265" s="103" t="n">
        <v>43566</v>
      </c>
      <c r="D265" s="87" t="n">
        <v>1</v>
      </c>
      <c r="E265" s="99" t="n">
        <v>1</v>
      </c>
      <c r="F265" s="104" t="s">
        <v>178</v>
      </c>
      <c r="G265" s="100" t="s">
        <v>432</v>
      </c>
    </row>
    <row r="266" s="105" customFormat="true" ht="18" hidden="false" customHeight="true" outlineLevel="0" collapsed="false">
      <c r="A266" s="96" t="n">
        <v>127</v>
      </c>
      <c r="B266" s="102" t="s">
        <v>149</v>
      </c>
      <c r="C266" s="103" t="n">
        <v>43565</v>
      </c>
      <c r="D266" s="87" t="n">
        <v>1</v>
      </c>
      <c r="E266" s="99" t="n">
        <v>1</v>
      </c>
      <c r="F266" s="104" t="s">
        <v>178</v>
      </c>
      <c r="G266" s="100" t="s">
        <v>433</v>
      </c>
    </row>
    <row r="267" s="105" customFormat="true" ht="18" hidden="false" customHeight="true" outlineLevel="0" collapsed="false">
      <c r="A267" s="96" t="n">
        <v>104</v>
      </c>
      <c r="B267" s="102" t="s">
        <v>126</v>
      </c>
      <c r="C267" s="103" t="n">
        <v>43565</v>
      </c>
      <c r="D267" s="87" t="n">
        <v>1</v>
      </c>
      <c r="E267" s="99" t="n">
        <v>1</v>
      </c>
      <c r="F267" s="104" t="s">
        <v>178</v>
      </c>
      <c r="G267" s="100" t="s">
        <v>434</v>
      </c>
    </row>
    <row r="268" s="105" customFormat="true" ht="18" hidden="false" customHeight="true" outlineLevel="0" collapsed="false">
      <c r="A268" s="96" t="n">
        <v>129</v>
      </c>
      <c r="B268" s="102" t="s">
        <v>151</v>
      </c>
      <c r="C268" s="103" t="n">
        <v>43564</v>
      </c>
      <c r="D268" s="87" t="n">
        <v>1</v>
      </c>
      <c r="E268" s="99" t="n">
        <v>1</v>
      </c>
      <c r="F268" s="104" t="s">
        <v>178</v>
      </c>
      <c r="G268" s="100" t="s">
        <v>435</v>
      </c>
    </row>
    <row r="269" s="105" customFormat="true" ht="18" hidden="false" customHeight="true" outlineLevel="0" collapsed="false">
      <c r="A269" s="96" t="n">
        <v>104</v>
      </c>
      <c r="B269" s="102" t="s">
        <v>126</v>
      </c>
      <c r="C269" s="103" t="n">
        <v>43564</v>
      </c>
      <c r="D269" s="87" t="n">
        <v>1</v>
      </c>
      <c r="E269" s="99" t="n">
        <v>1</v>
      </c>
      <c r="F269" s="104" t="s">
        <v>178</v>
      </c>
      <c r="G269" s="100" t="s">
        <v>436</v>
      </c>
    </row>
    <row r="270" s="105" customFormat="true" ht="18" hidden="false" customHeight="true" outlineLevel="0" collapsed="false">
      <c r="A270" s="96" t="n">
        <v>104</v>
      </c>
      <c r="B270" s="102" t="s">
        <v>126</v>
      </c>
      <c r="C270" s="103" t="n">
        <v>43563</v>
      </c>
      <c r="D270" s="87" t="n">
        <v>1</v>
      </c>
      <c r="E270" s="99" t="n">
        <v>1</v>
      </c>
      <c r="F270" s="104" t="s">
        <v>178</v>
      </c>
      <c r="G270" s="100" t="s">
        <v>437</v>
      </c>
    </row>
    <row r="271" s="105" customFormat="true" ht="18" hidden="false" customHeight="true" outlineLevel="0" collapsed="false">
      <c r="A271" s="96" t="n">
        <v>104</v>
      </c>
      <c r="B271" s="102" t="s">
        <v>126</v>
      </c>
      <c r="C271" s="103" t="n">
        <v>43563</v>
      </c>
      <c r="D271" s="87" t="n">
        <v>1</v>
      </c>
      <c r="E271" s="99" t="n">
        <v>1</v>
      </c>
      <c r="F271" s="104" t="s">
        <v>178</v>
      </c>
      <c r="G271" s="100" t="s">
        <v>438</v>
      </c>
    </row>
    <row r="272" s="105" customFormat="true" ht="18" hidden="false" customHeight="true" outlineLevel="0" collapsed="false">
      <c r="A272" s="96" t="n">
        <v>104</v>
      </c>
      <c r="B272" s="102" t="s">
        <v>126</v>
      </c>
      <c r="C272" s="103" t="n">
        <v>43563</v>
      </c>
      <c r="D272" s="87" t="n">
        <v>1</v>
      </c>
      <c r="E272" s="99" t="n">
        <v>1</v>
      </c>
      <c r="F272" s="104" t="s">
        <v>178</v>
      </c>
      <c r="G272" s="100" t="s">
        <v>439</v>
      </c>
    </row>
    <row r="273" s="105" customFormat="true" ht="18" hidden="false" customHeight="true" outlineLevel="0" collapsed="false">
      <c r="A273" s="96" t="n">
        <v>104</v>
      </c>
      <c r="B273" s="102" t="s">
        <v>126</v>
      </c>
      <c r="C273" s="103" t="n">
        <v>43560</v>
      </c>
      <c r="D273" s="87" t="n">
        <v>3</v>
      </c>
      <c r="E273" s="99" t="n">
        <v>1</v>
      </c>
      <c r="F273" s="104" t="s">
        <v>178</v>
      </c>
      <c r="G273" s="100" t="s">
        <v>440</v>
      </c>
    </row>
    <row r="274" s="105" customFormat="true" ht="18" hidden="false" customHeight="true" outlineLevel="0" collapsed="false">
      <c r="A274" s="96" t="n">
        <v>104</v>
      </c>
      <c r="B274" s="102" t="s">
        <v>126</v>
      </c>
      <c r="C274" s="103" t="n">
        <v>43559</v>
      </c>
      <c r="D274" s="87" t="n">
        <v>1</v>
      </c>
      <c r="E274" s="99" t="n">
        <v>1</v>
      </c>
      <c r="F274" s="104" t="s">
        <v>178</v>
      </c>
      <c r="G274" s="100" t="s">
        <v>441</v>
      </c>
    </row>
    <row r="275" s="105" customFormat="true" ht="18" hidden="false" customHeight="true" outlineLevel="0" collapsed="false">
      <c r="A275" s="96" t="n">
        <v>127</v>
      </c>
      <c r="B275" s="102" t="s">
        <v>149</v>
      </c>
      <c r="C275" s="103" t="n">
        <v>43558</v>
      </c>
      <c r="D275" s="87" t="n">
        <v>1</v>
      </c>
      <c r="E275" s="99" t="n">
        <v>1</v>
      </c>
      <c r="F275" s="104" t="s">
        <v>178</v>
      </c>
      <c r="G275" s="57" t="s">
        <v>442</v>
      </c>
    </row>
    <row r="276" s="105" customFormat="true" ht="18" hidden="false" customHeight="true" outlineLevel="0" collapsed="false">
      <c r="A276" s="96" t="n">
        <v>104</v>
      </c>
      <c r="B276" s="102" t="s">
        <v>126</v>
      </c>
      <c r="C276" s="103" t="n">
        <v>43557</v>
      </c>
      <c r="D276" s="87" t="n">
        <v>1</v>
      </c>
      <c r="E276" s="99" t="n">
        <v>1</v>
      </c>
      <c r="F276" s="104" t="s">
        <v>178</v>
      </c>
      <c r="G276" s="57" t="s">
        <v>443</v>
      </c>
    </row>
    <row r="277" s="105" customFormat="true" ht="18" hidden="false" customHeight="true" outlineLevel="0" collapsed="false">
      <c r="A277" s="96" t="n">
        <v>104</v>
      </c>
      <c r="B277" s="102" t="s">
        <v>126</v>
      </c>
      <c r="C277" s="103" t="n">
        <v>43557</v>
      </c>
      <c r="D277" s="87" t="n">
        <v>1</v>
      </c>
      <c r="E277" s="99" t="n">
        <v>1</v>
      </c>
      <c r="F277" s="104" t="s">
        <v>178</v>
      </c>
      <c r="G277" s="57" t="s">
        <v>444</v>
      </c>
    </row>
    <row r="278" s="105" customFormat="true" ht="18" hidden="false" customHeight="true" outlineLevel="0" collapsed="false">
      <c r="A278" s="96" t="n">
        <v>104</v>
      </c>
      <c r="B278" s="102" t="s">
        <v>126</v>
      </c>
      <c r="C278" s="103" t="n">
        <v>43556</v>
      </c>
      <c r="D278" s="87" t="n">
        <v>2</v>
      </c>
      <c r="E278" s="99" t="n">
        <v>1</v>
      </c>
      <c r="F278" s="104" t="s">
        <v>178</v>
      </c>
      <c r="G278" s="57" t="s">
        <v>445</v>
      </c>
    </row>
    <row r="279" s="105" customFormat="true" ht="18" hidden="false" customHeight="true" outlineLevel="0" collapsed="false">
      <c r="A279" s="96" t="n">
        <v>130</v>
      </c>
      <c r="B279" s="102" t="s">
        <v>152</v>
      </c>
      <c r="C279" s="103" t="n">
        <v>43556</v>
      </c>
      <c r="D279" s="87" t="n">
        <v>1</v>
      </c>
      <c r="E279" s="99" t="n">
        <v>1</v>
      </c>
      <c r="F279" s="104" t="s">
        <v>178</v>
      </c>
      <c r="G279" s="57" t="s">
        <v>446</v>
      </c>
    </row>
    <row r="280" s="105" customFormat="true" ht="18" hidden="false" customHeight="true" outlineLevel="0" collapsed="false">
      <c r="A280" s="96" t="n">
        <v>128</v>
      </c>
      <c r="B280" s="102" t="s">
        <v>150</v>
      </c>
      <c r="C280" s="103" t="s">
        <v>447</v>
      </c>
      <c r="D280" s="87" t="n">
        <v>1</v>
      </c>
      <c r="E280" s="99" t="n">
        <v>1</v>
      </c>
      <c r="F280" s="104" t="s">
        <v>178</v>
      </c>
      <c r="G280" s="57" t="s">
        <v>448</v>
      </c>
    </row>
    <row r="281" s="105" customFormat="true" ht="18" hidden="false" customHeight="true" outlineLevel="0" collapsed="false">
      <c r="A281" s="96" t="n">
        <v>104</v>
      </c>
      <c r="B281" s="102" t="s">
        <v>126</v>
      </c>
      <c r="C281" s="103" t="n">
        <v>43556</v>
      </c>
      <c r="D281" s="87" t="n">
        <v>1</v>
      </c>
      <c r="E281" s="99" t="n">
        <v>1</v>
      </c>
      <c r="F281" s="104" t="s">
        <v>178</v>
      </c>
      <c r="G281" s="57" t="s">
        <v>449</v>
      </c>
    </row>
    <row r="282" s="105" customFormat="true" ht="18" hidden="false" customHeight="true" outlineLevel="0" collapsed="false">
      <c r="A282" s="96" t="n">
        <v>104</v>
      </c>
      <c r="B282" s="102" t="s">
        <v>126</v>
      </c>
      <c r="C282" s="103" t="n">
        <v>43553</v>
      </c>
      <c r="D282" s="87" t="n">
        <v>1</v>
      </c>
      <c r="E282" s="99" t="n">
        <v>1</v>
      </c>
      <c r="F282" s="104" t="s">
        <v>178</v>
      </c>
      <c r="G282" s="57" t="s">
        <v>450</v>
      </c>
    </row>
    <row r="283" s="105" customFormat="true" ht="18" hidden="false" customHeight="true" outlineLevel="0" collapsed="false">
      <c r="A283" s="96" t="n">
        <v>104</v>
      </c>
      <c r="B283" s="102" t="s">
        <v>126</v>
      </c>
      <c r="C283" s="103" t="n">
        <v>43552</v>
      </c>
      <c r="D283" s="87" t="n">
        <v>1</v>
      </c>
      <c r="E283" s="99" t="n">
        <v>1</v>
      </c>
      <c r="F283" s="104" t="s">
        <v>178</v>
      </c>
      <c r="G283" s="57" t="s">
        <v>451</v>
      </c>
    </row>
    <row r="284" s="105" customFormat="true" ht="18" hidden="false" customHeight="true" outlineLevel="0" collapsed="false">
      <c r="A284" s="96" t="n">
        <v>104</v>
      </c>
      <c r="B284" s="102" t="s">
        <v>126</v>
      </c>
      <c r="C284" s="103" t="n">
        <v>43552</v>
      </c>
      <c r="D284" s="87" t="n">
        <v>1</v>
      </c>
      <c r="E284" s="99" t="n">
        <v>1</v>
      </c>
      <c r="F284" s="104" t="s">
        <v>178</v>
      </c>
      <c r="G284" s="57" t="s">
        <v>452</v>
      </c>
    </row>
    <row r="285" s="105" customFormat="true" ht="18" hidden="false" customHeight="true" outlineLevel="0" collapsed="false">
      <c r="A285" s="96" t="n">
        <v>104</v>
      </c>
      <c r="B285" s="102" t="s">
        <v>126</v>
      </c>
      <c r="C285" s="103" t="n">
        <v>43552</v>
      </c>
      <c r="D285" s="87" t="n">
        <v>2</v>
      </c>
      <c r="E285" s="99" t="n">
        <v>1</v>
      </c>
      <c r="F285" s="104" t="s">
        <v>178</v>
      </c>
      <c r="G285" s="57" t="s">
        <v>453</v>
      </c>
    </row>
    <row r="286" s="105" customFormat="true" ht="18" hidden="false" customHeight="true" outlineLevel="0" collapsed="false">
      <c r="A286" s="96" t="n">
        <v>104</v>
      </c>
      <c r="B286" s="102" t="s">
        <v>126</v>
      </c>
      <c r="C286" s="103" t="n">
        <v>43551</v>
      </c>
      <c r="D286" s="87" t="n">
        <v>1</v>
      </c>
      <c r="E286" s="99" t="n">
        <v>1</v>
      </c>
      <c r="F286" s="104" t="s">
        <v>178</v>
      </c>
      <c r="G286" s="57" t="s">
        <v>454</v>
      </c>
    </row>
    <row r="287" s="105" customFormat="true" ht="18" hidden="false" customHeight="true" outlineLevel="0" collapsed="false">
      <c r="A287" s="96" t="n">
        <v>104</v>
      </c>
      <c r="B287" s="102" t="s">
        <v>126</v>
      </c>
      <c r="C287" s="103" t="n">
        <v>43550</v>
      </c>
      <c r="D287" s="87" t="n">
        <v>1</v>
      </c>
      <c r="E287" s="99" t="n">
        <v>1</v>
      </c>
      <c r="F287" s="104" t="s">
        <v>178</v>
      </c>
      <c r="G287" s="57" t="s">
        <v>455</v>
      </c>
    </row>
    <row r="288" s="105" customFormat="true" ht="18" hidden="false" customHeight="true" outlineLevel="0" collapsed="false">
      <c r="A288" s="96" t="n">
        <v>116</v>
      </c>
      <c r="B288" s="102" t="s">
        <v>138</v>
      </c>
      <c r="C288" s="103" t="n">
        <v>43550</v>
      </c>
      <c r="D288" s="87" t="n">
        <v>1</v>
      </c>
      <c r="E288" s="99" t="n">
        <v>1</v>
      </c>
      <c r="F288" s="104" t="s">
        <v>178</v>
      </c>
      <c r="G288" s="57" t="s">
        <v>456</v>
      </c>
    </row>
    <row r="289" s="105" customFormat="true" ht="18" hidden="false" customHeight="true" outlineLevel="0" collapsed="false">
      <c r="A289" s="96" t="n">
        <v>104</v>
      </c>
      <c r="B289" s="102" t="s">
        <v>126</v>
      </c>
      <c r="C289" s="103" t="n">
        <v>43546</v>
      </c>
      <c r="D289" s="87" t="n">
        <v>1</v>
      </c>
      <c r="E289" s="99" t="n">
        <v>1</v>
      </c>
      <c r="F289" s="104" t="s">
        <v>178</v>
      </c>
      <c r="G289" s="57" t="s">
        <v>457</v>
      </c>
    </row>
    <row r="290" s="105" customFormat="true" ht="18" hidden="false" customHeight="true" outlineLevel="0" collapsed="false">
      <c r="A290" s="96" t="n">
        <v>104</v>
      </c>
      <c r="B290" s="102" t="s">
        <v>126</v>
      </c>
      <c r="C290" s="103" t="n">
        <v>43545</v>
      </c>
      <c r="D290" s="87" t="n">
        <v>1</v>
      </c>
      <c r="E290" s="99" t="n">
        <v>1</v>
      </c>
      <c r="F290" s="104" t="s">
        <v>178</v>
      </c>
      <c r="G290" s="57" t="s">
        <v>458</v>
      </c>
    </row>
    <row r="291" s="105" customFormat="true" ht="18" hidden="false" customHeight="true" outlineLevel="0" collapsed="false">
      <c r="A291" s="96" t="n">
        <v>104</v>
      </c>
      <c r="B291" s="102" t="s">
        <v>126</v>
      </c>
      <c r="C291" s="103" t="n">
        <v>43545</v>
      </c>
      <c r="D291" s="87" t="n">
        <v>1</v>
      </c>
      <c r="E291" s="99" t="n">
        <v>1</v>
      </c>
      <c r="F291" s="104" t="s">
        <v>178</v>
      </c>
      <c r="G291" s="57" t="s">
        <v>459</v>
      </c>
    </row>
    <row r="292" s="105" customFormat="true" ht="18" hidden="false" customHeight="true" outlineLevel="0" collapsed="false">
      <c r="A292" s="96" t="n">
        <v>104</v>
      </c>
      <c r="B292" s="102" t="s">
        <v>126</v>
      </c>
      <c r="C292" s="103" t="n">
        <v>43544</v>
      </c>
      <c r="D292" s="87" t="n">
        <v>2</v>
      </c>
      <c r="E292" s="99" t="n">
        <v>1</v>
      </c>
      <c r="F292" s="104" t="s">
        <v>178</v>
      </c>
      <c r="G292" s="57" t="s">
        <v>460</v>
      </c>
    </row>
    <row r="293" s="105" customFormat="true" ht="18" hidden="false" customHeight="true" outlineLevel="0" collapsed="false">
      <c r="A293" s="96" t="n">
        <v>104</v>
      </c>
      <c r="B293" s="102" t="s">
        <v>126</v>
      </c>
      <c r="C293" s="103" t="n">
        <v>43543</v>
      </c>
      <c r="D293" s="87" t="n">
        <v>1</v>
      </c>
      <c r="E293" s="99" t="n">
        <v>1</v>
      </c>
      <c r="F293" s="104" t="s">
        <v>178</v>
      </c>
      <c r="G293" s="57" t="s">
        <v>461</v>
      </c>
    </row>
    <row r="294" s="105" customFormat="true" ht="18" hidden="false" customHeight="true" outlineLevel="0" collapsed="false">
      <c r="A294" s="96" t="n">
        <v>104</v>
      </c>
      <c r="B294" s="102" t="s">
        <v>126</v>
      </c>
      <c r="C294" s="103" t="n">
        <v>43542</v>
      </c>
      <c r="D294" s="87" t="n">
        <v>1</v>
      </c>
      <c r="E294" s="99" t="n">
        <v>1</v>
      </c>
      <c r="F294" s="104" t="s">
        <v>178</v>
      </c>
      <c r="G294" s="57" t="s">
        <v>462</v>
      </c>
    </row>
    <row r="295" s="105" customFormat="true" ht="18" hidden="false" customHeight="true" outlineLevel="0" collapsed="false">
      <c r="A295" s="96" t="n">
        <v>104</v>
      </c>
      <c r="B295" s="102" t="s">
        <v>126</v>
      </c>
      <c r="C295" s="103" t="n">
        <v>43542</v>
      </c>
      <c r="D295" s="87" t="n">
        <v>1</v>
      </c>
      <c r="E295" s="99" t="n">
        <v>1</v>
      </c>
      <c r="F295" s="104" t="s">
        <v>178</v>
      </c>
      <c r="G295" s="57" t="s">
        <v>463</v>
      </c>
    </row>
    <row r="296" s="105" customFormat="true" ht="18" hidden="false" customHeight="true" outlineLevel="0" collapsed="false">
      <c r="A296" s="96" t="n">
        <v>104</v>
      </c>
      <c r="B296" s="102" t="s">
        <v>126</v>
      </c>
      <c r="C296" s="103" t="n">
        <v>43542</v>
      </c>
      <c r="D296" s="87" t="n">
        <v>1</v>
      </c>
      <c r="E296" s="99" t="n">
        <v>1</v>
      </c>
      <c r="F296" s="104" t="s">
        <v>178</v>
      </c>
      <c r="G296" s="57" t="s">
        <v>464</v>
      </c>
    </row>
    <row r="297" s="105" customFormat="true" ht="18" hidden="false" customHeight="true" outlineLevel="0" collapsed="false">
      <c r="A297" s="96" t="n">
        <v>104</v>
      </c>
      <c r="B297" s="102" t="s">
        <v>126</v>
      </c>
      <c r="C297" s="103" t="n">
        <v>43539</v>
      </c>
      <c r="D297" s="87" t="n">
        <v>1</v>
      </c>
      <c r="E297" s="99" t="n">
        <v>1</v>
      </c>
      <c r="F297" s="104" t="s">
        <v>178</v>
      </c>
      <c r="G297" s="57" t="s">
        <v>465</v>
      </c>
    </row>
    <row r="298" s="105" customFormat="true" ht="18" hidden="false" customHeight="true" outlineLevel="0" collapsed="false">
      <c r="A298" s="96" t="n">
        <v>104</v>
      </c>
      <c r="B298" s="102" t="s">
        <v>126</v>
      </c>
      <c r="C298" s="103" t="n">
        <v>43538</v>
      </c>
      <c r="D298" s="87" t="n">
        <v>1</v>
      </c>
      <c r="E298" s="99" t="n">
        <v>1</v>
      </c>
      <c r="F298" s="104" t="s">
        <v>178</v>
      </c>
      <c r="G298" s="57" t="s">
        <v>466</v>
      </c>
    </row>
    <row r="299" s="105" customFormat="true" ht="18" hidden="false" customHeight="true" outlineLevel="0" collapsed="false">
      <c r="A299" s="96" t="n">
        <v>104</v>
      </c>
      <c r="B299" s="102" t="s">
        <v>126</v>
      </c>
      <c r="C299" s="103" t="n">
        <v>43537</v>
      </c>
      <c r="D299" s="87" t="n">
        <v>1</v>
      </c>
      <c r="E299" s="99" t="n">
        <v>1</v>
      </c>
      <c r="F299" s="104" t="s">
        <v>178</v>
      </c>
      <c r="G299" s="57" t="s">
        <v>467</v>
      </c>
    </row>
    <row r="300" s="105" customFormat="true" ht="18" hidden="false" customHeight="true" outlineLevel="0" collapsed="false">
      <c r="A300" s="96" t="n">
        <v>104</v>
      </c>
      <c r="B300" s="102" t="s">
        <v>126</v>
      </c>
      <c r="C300" s="103" t="n">
        <v>43537</v>
      </c>
      <c r="D300" s="87" t="n">
        <v>1</v>
      </c>
      <c r="E300" s="99" t="n">
        <v>1</v>
      </c>
      <c r="F300" s="104" t="s">
        <v>178</v>
      </c>
      <c r="G300" s="57" t="s">
        <v>468</v>
      </c>
    </row>
    <row r="301" s="105" customFormat="true" ht="18" hidden="false" customHeight="true" outlineLevel="0" collapsed="false">
      <c r="A301" s="96" t="n">
        <v>104</v>
      </c>
      <c r="B301" s="102" t="s">
        <v>126</v>
      </c>
      <c r="C301" s="103" t="n">
        <v>43537</v>
      </c>
      <c r="D301" s="87" t="n">
        <v>1</v>
      </c>
      <c r="E301" s="99" t="n">
        <v>1</v>
      </c>
      <c r="F301" s="104" t="s">
        <v>178</v>
      </c>
      <c r="G301" s="57" t="s">
        <v>469</v>
      </c>
    </row>
    <row r="302" s="105" customFormat="true" ht="18" hidden="false" customHeight="true" outlineLevel="0" collapsed="false">
      <c r="A302" s="96" t="n">
        <v>104</v>
      </c>
      <c r="B302" s="102" t="s">
        <v>126</v>
      </c>
      <c r="C302" s="103" t="n">
        <v>43537</v>
      </c>
      <c r="D302" s="87" t="n">
        <v>1</v>
      </c>
      <c r="E302" s="99" t="n">
        <v>1</v>
      </c>
      <c r="F302" s="104" t="s">
        <v>178</v>
      </c>
      <c r="G302" s="57" t="s">
        <v>469</v>
      </c>
    </row>
    <row r="303" s="105" customFormat="true" ht="18" hidden="false" customHeight="true" outlineLevel="0" collapsed="false">
      <c r="A303" s="96" t="n">
        <v>104</v>
      </c>
      <c r="B303" s="102" t="s">
        <v>126</v>
      </c>
      <c r="C303" s="103" t="n">
        <v>43537</v>
      </c>
      <c r="D303" s="87" t="n">
        <v>1</v>
      </c>
      <c r="E303" s="99" t="n">
        <v>1</v>
      </c>
      <c r="F303" s="104" t="s">
        <v>178</v>
      </c>
      <c r="G303" s="57" t="s">
        <v>470</v>
      </c>
    </row>
    <row r="304" s="105" customFormat="true" ht="18" hidden="false" customHeight="true" outlineLevel="0" collapsed="false">
      <c r="A304" s="96" t="n">
        <v>104</v>
      </c>
      <c r="B304" s="102" t="s">
        <v>126</v>
      </c>
      <c r="C304" s="103" t="n">
        <v>43536</v>
      </c>
      <c r="D304" s="87" t="n">
        <v>1</v>
      </c>
      <c r="E304" s="99" t="n">
        <v>1</v>
      </c>
      <c r="F304" s="104" t="s">
        <v>178</v>
      </c>
      <c r="G304" s="57" t="s">
        <v>471</v>
      </c>
    </row>
    <row r="305" s="105" customFormat="true" ht="18" hidden="false" customHeight="true" outlineLevel="0" collapsed="false">
      <c r="A305" s="96" t="n">
        <v>104</v>
      </c>
      <c r="B305" s="102" t="s">
        <v>126</v>
      </c>
      <c r="C305" s="103" t="n">
        <v>43536</v>
      </c>
      <c r="D305" s="87" t="n">
        <v>1</v>
      </c>
      <c r="E305" s="99" t="n">
        <v>1</v>
      </c>
      <c r="F305" s="104" t="s">
        <v>178</v>
      </c>
      <c r="G305" s="57" t="s">
        <v>472</v>
      </c>
    </row>
    <row r="306" s="105" customFormat="true" ht="18" hidden="false" customHeight="true" outlineLevel="0" collapsed="false">
      <c r="A306" s="96" t="n">
        <v>104</v>
      </c>
      <c r="B306" s="102" t="s">
        <v>126</v>
      </c>
      <c r="C306" s="103" t="n">
        <v>43535</v>
      </c>
      <c r="D306" s="87" t="n">
        <v>1</v>
      </c>
      <c r="E306" s="99" t="n">
        <v>1</v>
      </c>
      <c r="F306" s="104" t="s">
        <v>178</v>
      </c>
      <c r="G306" s="57" t="s">
        <v>473</v>
      </c>
    </row>
    <row r="307" s="105" customFormat="true" ht="18" hidden="false" customHeight="true" outlineLevel="0" collapsed="false">
      <c r="A307" s="96" t="n">
        <v>104</v>
      </c>
      <c r="B307" s="102" t="s">
        <v>126</v>
      </c>
      <c r="C307" s="103" t="n">
        <v>43535</v>
      </c>
      <c r="D307" s="87" t="n">
        <v>1</v>
      </c>
      <c r="E307" s="99" t="n">
        <v>1</v>
      </c>
      <c r="F307" s="104" t="s">
        <v>178</v>
      </c>
      <c r="G307" s="57" t="s">
        <v>474</v>
      </c>
    </row>
    <row r="308" s="105" customFormat="true" ht="18" hidden="false" customHeight="true" outlineLevel="0" collapsed="false">
      <c r="A308" s="96" t="n">
        <v>104</v>
      </c>
      <c r="B308" s="102" t="s">
        <v>126</v>
      </c>
      <c r="C308" s="103" t="n">
        <v>43533</v>
      </c>
      <c r="D308" s="87" t="n">
        <v>1</v>
      </c>
      <c r="E308" s="99" t="n">
        <v>1</v>
      </c>
      <c r="F308" s="104" t="s">
        <v>178</v>
      </c>
      <c r="G308" s="57" t="s">
        <v>475</v>
      </c>
    </row>
    <row r="309" s="105" customFormat="true" ht="18" hidden="false" customHeight="true" outlineLevel="0" collapsed="false">
      <c r="A309" s="96" t="n">
        <v>104</v>
      </c>
      <c r="B309" s="102" t="s">
        <v>126</v>
      </c>
      <c r="C309" s="103" t="n">
        <v>43533</v>
      </c>
      <c r="D309" s="87" t="n">
        <v>1</v>
      </c>
      <c r="E309" s="99" t="n">
        <v>1</v>
      </c>
      <c r="F309" s="104" t="s">
        <v>178</v>
      </c>
      <c r="G309" s="57" t="s">
        <v>476</v>
      </c>
    </row>
    <row r="310" s="105" customFormat="true" ht="18" hidden="false" customHeight="true" outlineLevel="0" collapsed="false">
      <c r="A310" s="96" t="n">
        <v>104</v>
      </c>
      <c r="B310" s="102" t="s">
        <v>126</v>
      </c>
      <c r="C310" s="103" t="n">
        <v>43533</v>
      </c>
      <c r="D310" s="87" t="n">
        <v>1</v>
      </c>
      <c r="E310" s="99" t="n">
        <v>1</v>
      </c>
      <c r="F310" s="104" t="s">
        <v>178</v>
      </c>
      <c r="G310" s="57" t="s">
        <v>477</v>
      </c>
    </row>
    <row r="311" s="105" customFormat="true" ht="18" hidden="false" customHeight="true" outlineLevel="0" collapsed="false">
      <c r="A311" s="96" t="n">
        <v>104</v>
      </c>
      <c r="B311" s="102" t="s">
        <v>126</v>
      </c>
      <c r="C311" s="103" t="n">
        <v>43535</v>
      </c>
      <c r="D311" s="87" t="n">
        <v>1</v>
      </c>
      <c r="E311" s="99" t="n">
        <v>1</v>
      </c>
      <c r="F311" s="104" t="s">
        <v>178</v>
      </c>
      <c r="G311" s="57" t="s">
        <v>478</v>
      </c>
    </row>
    <row r="312" s="105" customFormat="true" ht="18" hidden="false" customHeight="true" outlineLevel="0" collapsed="false">
      <c r="A312" s="96" t="n">
        <v>104</v>
      </c>
      <c r="B312" s="102" t="s">
        <v>126</v>
      </c>
      <c r="C312" s="103" t="n">
        <v>43532</v>
      </c>
      <c r="D312" s="87" t="n">
        <v>1</v>
      </c>
      <c r="E312" s="99" t="n">
        <v>1</v>
      </c>
      <c r="F312" s="104" t="s">
        <v>178</v>
      </c>
      <c r="G312" s="57" t="s">
        <v>479</v>
      </c>
    </row>
    <row r="313" s="105" customFormat="true" ht="18" hidden="false" customHeight="true" outlineLevel="0" collapsed="false">
      <c r="A313" s="96" t="n">
        <v>104</v>
      </c>
      <c r="B313" s="102" t="s">
        <v>126</v>
      </c>
      <c r="C313" s="103" t="n">
        <v>43530</v>
      </c>
      <c r="D313" s="87" t="n">
        <v>1</v>
      </c>
      <c r="E313" s="99" t="n">
        <v>1</v>
      </c>
      <c r="F313" s="104" t="s">
        <v>178</v>
      </c>
      <c r="G313" s="57" t="s">
        <v>480</v>
      </c>
    </row>
    <row r="314" s="105" customFormat="true" ht="18" hidden="false" customHeight="true" outlineLevel="0" collapsed="false">
      <c r="A314" s="96" t="n">
        <v>104</v>
      </c>
      <c r="B314" s="102" t="s">
        <v>126</v>
      </c>
      <c r="C314" s="103" t="n">
        <v>43530</v>
      </c>
      <c r="D314" s="87" t="n">
        <v>1</v>
      </c>
      <c r="E314" s="99" t="n">
        <v>1</v>
      </c>
      <c r="F314" s="104" t="s">
        <v>178</v>
      </c>
      <c r="G314" s="57" t="s">
        <v>481</v>
      </c>
    </row>
    <row r="315" s="105" customFormat="true" ht="18" hidden="false" customHeight="true" outlineLevel="0" collapsed="false">
      <c r="A315" s="96" t="n">
        <v>104</v>
      </c>
      <c r="B315" s="102" t="s">
        <v>126</v>
      </c>
      <c r="C315" s="103" t="n">
        <v>43527</v>
      </c>
      <c r="D315" s="87" t="n">
        <v>1</v>
      </c>
      <c r="E315" s="99" t="n">
        <v>1</v>
      </c>
      <c r="F315" s="104" t="s">
        <v>178</v>
      </c>
      <c r="G315" s="57" t="s">
        <v>482</v>
      </c>
    </row>
    <row r="316" s="105" customFormat="true" ht="18" hidden="false" customHeight="true" outlineLevel="0" collapsed="false">
      <c r="A316" s="96" t="n">
        <v>104</v>
      </c>
      <c r="B316" s="102" t="s">
        <v>126</v>
      </c>
      <c r="C316" s="103" t="n">
        <v>43525</v>
      </c>
      <c r="D316" s="87" t="n">
        <v>1</v>
      </c>
      <c r="E316" s="99" t="n">
        <v>1</v>
      </c>
      <c r="F316" s="104" t="s">
        <v>178</v>
      </c>
      <c r="G316" s="57" t="s">
        <v>483</v>
      </c>
    </row>
    <row r="317" s="105" customFormat="true" ht="18" hidden="false" customHeight="true" outlineLevel="0" collapsed="false">
      <c r="A317" s="96" t="n">
        <v>104</v>
      </c>
      <c r="B317" s="102" t="s">
        <v>126</v>
      </c>
      <c r="C317" s="103" t="n">
        <v>43525</v>
      </c>
      <c r="D317" s="87" t="n">
        <v>1</v>
      </c>
      <c r="E317" s="99" t="n">
        <v>1</v>
      </c>
      <c r="F317" s="104" t="s">
        <v>178</v>
      </c>
      <c r="G317" s="57" t="s">
        <v>484</v>
      </c>
    </row>
    <row r="318" s="105" customFormat="true" ht="18" hidden="false" customHeight="true" outlineLevel="0" collapsed="false">
      <c r="A318" s="96" t="n">
        <v>104</v>
      </c>
      <c r="B318" s="102" t="s">
        <v>126</v>
      </c>
      <c r="C318" s="103" t="n">
        <v>43524</v>
      </c>
      <c r="D318" s="87" t="n">
        <v>1</v>
      </c>
      <c r="E318" s="99" t="n">
        <v>1</v>
      </c>
      <c r="F318" s="104" t="s">
        <v>178</v>
      </c>
      <c r="G318" s="57" t="s">
        <v>485</v>
      </c>
    </row>
    <row r="319" s="105" customFormat="true" ht="18" hidden="false" customHeight="true" outlineLevel="0" collapsed="false">
      <c r="A319" s="96" t="n">
        <v>104</v>
      </c>
      <c r="B319" s="102" t="s">
        <v>126</v>
      </c>
      <c r="C319" s="103" t="n">
        <v>43524</v>
      </c>
      <c r="D319" s="87" t="n">
        <v>1</v>
      </c>
      <c r="E319" s="99" t="n">
        <v>1</v>
      </c>
      <c r="F319" s="104" t="s">
        <v>178</v>
      </c>
      <c r="G319" s="57" t="s">
        <v>486</v>
      </c>
    </row>
    <row r="320" s="105" customFormat="true" ht="18" hidden="false" customHeight="true" outlineLevel="0" collapsed="false">
      <c r="A320" s="96" t="n">
        <v>104</v>
      </c>
      <c r="B320" s="102" t="s">
        <v>126</v>
      </c>
      <c r="C320" s="103" t="n">
        <v>42793</v>
      </c>
      <c r="D320" s="87" t="n">
        <v>1</v>
      </c>
      <c r="E320" s="99" t="n">
        <v>1</v>
      </c>
      <c r="F320" s="104" t="s">
        <v>178</v>
      </c>
      <c r="G320" s="57" t="s">
        <v>487</v>
      </c>
    </row>
    <row r="321" s="105" customFormat="true" ht="18" hidden="false" customHeight="true" outlineLevel="0" collapsed="false">
      <c r="A321" s="96" t="n">
        <v>104</v>
      </c>
      <c r="B321" s="102" t="s">
        <v>126</v>
      </c>
      <c r="C321" s="103" t="n">
        <v>43523</v>
      </c>
      <c r="D321" s="87" t="n">
        <v>1</v>
      </c>
      <c r="E321" s="99" t="n">
        <v>1</v>
      </c>
      <c r="F321" s="104" t="s">
        <v>178</v>
      </c>
      <c r="G321" s="57" t="s">
        <v>488</v>
      </c>
    </row>
    <row r="322" s="105" customFormat="true" ht="18" hidden="false" customHeight="true" outlineLevel="0" collapsed="false">
      <c r="A322" s="96" t="n">
        <v>106</v>
      </c>
      <c r="B322" s="102" t="s">
        <v>128</v>
      </c>
      <c r="C322" s="103" t="n">
        <v>43522</v>
      </c>
      <c r="D322" s="87" t="n">
        <v>1</v>
      </c>
      <c r="E322" s="99" t="n">
        <v>1</v>
      </c>
      <c r="F322" s="104" t="s">
        <v>178</v>
      </c>
      <c r="G322" s="57" t="s">
        <v>489</v>
      </c>
    </row>
    <row r="323" s="105" customFormat="true" ht="18" hidden="false" customHeight="true" outlineLevel="0" collapsed="false">
      <c r="A323" s="96" t="n">
        <v>105</v>
      </c>
      <c r="B323" s="102" t="s">
        <v>127</v>
      </c>
      <c r="C323" s="103" t="n">
        <v>43522</v>
      </c>
      <c r="D323" s="87" t="n">
        <v>1</v>
      </c>
      <c r="E323" s="99" t="n">
        <v>1</v>
      </c>
      <c r="F323" s="104" t="s">
        <v>178</v>
      </c>
      <c r="G323" s="57" t="s">
        <v>490</v>
      </c>
    </row>
    <row r="324" s="105" customFormat="true" ht="18" hidden="false" customHeight="true" outlineLevel="0" collapsed="false">
      <c r="A324" s="96" t="n">
        <v>107</v>
      </c>
      <c r="B324" s="102" t="s">
        <v>129</v>
      </c>
      <c r="C324" s="103" t="n">
        <v>43522</v>
      </c>
      <c r="D324" s="87" t="n">
        <v>1</v>
      </c>
      <c r="E324" s="99" t="n">
        <v>1</v>
      </c>
      <c r="F324" s="104" t="s">
        <v>178</v>
      </c>
      <c r="G324" s="57" t="s">
        <v>491</v>
      </c>
    </row>
    <row r="325" s="105" customFormat="true" ht="18" hidden="false" customHeight="true" outlineLevel="0" collapsed="false">
      <c r="A325" s="96" t="n">
        <v>104</v>
      </c>
      <c r="B325" s="102" t="s">
        <v>126</v>
      </c>
      <c r="C325" s="103" t="n">
        <v>43522</v>
      </c>
      <c r="D325" s="87" t="n">
        <v>1</v>
      </c>
      <c r="E325" s="99" t="n">
        <v>1</v>
      </c>
      <c r="F325" s="104" t="s">
        <v>178</v>
      </c>
      <c r="G325" s="57" t="s">
        <v>492</v>
      </c>
    </row>
    <row r="326" s="105" customFormat="true" ht="18" hidden="false" customHeight="true" outlineLevel="0" collapsed="false">
      <c r="A326" s="96" t="n">
        <v>104</v>
      </c>
      <c r="B326" s="102" t="s">
        <v>126</v>
      </c>
      <c r="C326" s="103" t="n">
        <v>43520</v>
      </c>
      <c r="D326" s="87" t="n">
        <v>1</v>
      </c>
      <c r="E326" s="99" t="n">
        <v>1</v>
      </c>
      <c r="F326" s="104" t="s">
        <v>178</v>
      </c>
      <c r="G326" s="111" t="s">
        <v>493</v>
      </c>
    </row>
    <row r="327" s="105" customFormat="true" ht="18" hidden="false" customHeight="true" outlineLevel="0" collapsed="false">
      <c r="A327" s="96" t="n">
        <v>104</v>
      </c>
      <c r="B327" s="102" t="s">
        <v>126</v>
      </c>
      <c r="C327" s="103" t="n">
        <v>43521</v>
      </c>
      <c r="D327" s="87" t="n">
        <v>1</v>
      </c>
      <c r="E327" s="99" t="n">
        <v>1</v>
      </c>
      <c r="F327" s="104" t="s">
        <v>178</v>
      </c>
      <c r="G327" s="111" t="s">
        <v>494</v>
      </c>
    </row>
    <row r="328" s="105" customFormat="true" ht="18" hidden="false" customHeight="true" outlineLevel="0" collapsed="false">
      <c r="A328" s="96" t="n">
        <v>104</v>
      </c>
      <c r="B328" s="102" t="s">
        <v>126</v>
      </c>
      <c r="C328" s="103" t="s">
        <v>495</v>
      </c>
      <c r="D328" s="87" t="n">
        <v>3</v>
      </c>
      <c r="E328" s="99" t="n">
        <v>1</v>
      </c>
      <c r="F328" s="104" t="s">
        <v>178</v>
      </c>
      <c r="G328" s="112" t="s">
        <v>496</v>
      </c>
    </row>
    <row r="329" s="105" customFormat="true" ht="18" hidden="false" customHeight="true" outlineLevel="0" collapsed="false">
      <c r="A329" s="96" t="n">
        <v>104</v>
      </c>
      <c r="B329" s="102" t="s">
        <v>126</v>
      </c>
      <c r="C329" s="103" t="n">
        <v>43521</v>
      </c>
      <c r="D329" s="87" t="n">
        <v>1</v>
      </c>
      <c r="E329" s="99" t="n">
        <v>1</v>
      </c>
      <c r="F329" s="104" t="s">
        <v>178</v>
      </c>
      <c r="G329" s="112" t="s">
        <v>497</v>
      </c>
    </row>
    <row r="330" s="105" customFormat="true" ht="18" hidden="false" customHeight="true" outlineLevel="0" collapsed="false">
      <c r="A330" s="96" t="n">
        <v>104</v>
      </c>
      <c r="B330" s="102" t="s">
        <v>126</v>
      </c>
      <c r="C330" s="103" t="n">
        <v>43521</v>
      </c>
      <c r="D330" s="87" t="n">
        <v>1</v>
      </c>
      <c r="E330" s="99" t="n">
        <v>1</v>
      </c>
      <c r="F330" s="104" t="s">
        <v>178</v>
      </c>
      <c r="G330" s="112" t="s">
        <v>498</v>
      </c>
    </row>
    <row r="331" s="105" customFormat="true" ht="18" hidden="false" customHeight="true" outlineLevel="0" collapsed="false">
      <c r="A331" s="96" t="n">
        <v>104</v>
      </c>
      <c r="B331" s="102" t="s">
        <v>126</v>
      </c>
      <c r="C331" s="103" t="n">
        <v>43518</v>
      </c>
      <c r="D331" s="87" t="n">
        <v>1</v>
      </c>
      <c r="E331" s="99" t="n">
        <v>1</v>
      </c>
      <c r="F331" s="104" t="s">
        <v>178</v>
      </c>
      <c r="G331" s="112" t="s">
        <v>499</v>
      </c>
    </row>
    <row r="332" s="105" customFormat="true" ht="18" hidden="false" customHeight="true" outlineLevel="0" collapsed="false">
      <c r="A332" s="96" t="n">
        <v>104</v>
      </c>
      <c r="B332" s="102" t="s">
        <v>126</v>
      </c>
      <c r="C332" s="103" t="n">
        <v>43518</v>
      </c>
      <c r="D332" s="87" t="n">
        <v>1</v>
      </c>
      <c r="E332" s="99" t="n">
        <v>1</v>
      </c>
      <c r="F332" s="104" t="s">
        <v>178</v>
      </c>
      <c r="G332" s="112" t="s">
        <v>500</v>
      </c>
    </row>
    <row r="333" s="105" customFormat="true" ht="18" hidden="false" customHeight="true" outlineLevel="0" collapsed="false">
      <c r="A333" s="96" t="n">
        <v>104</v>
      </c>
      <c r="B333" s="102" t="s">
        <v>126</v>
      </c>
      <c r="C333" s="103" t="n">
        <v>43517</v>
      </c>
      <c r="D333" s="87" t="n">
        <v>1</v>
      </c>
      <c r="E333" s="99" t="n">
        <v>1</v>
      </c>
      <c r="F333" s="104" t="s">
        <v>178</v>
      </c>
      <c r="G333" s="112" t="s">
        <v>501</v>
      </c>
    </row>
    <row r="334" s="105" customFormat="true" ht="18" hidden="false" customHeight="true" outlineLevel="0" collapsed="false">
      <c r="A334" s="96" t="n">
        <v>116</v>
      </c>
      <c r="B334" s="102" t="s">
        <v>138</v>
      </c>
      <c r="C334" s="103" t="n">
        <v>43517</v>
      </c>
      <c r="D334" s="87" t="n">
        <v>1</v>
      </c>
      <c r="E334" s="99" t="n">
        <v>1</v>
      </c>
      <c r="F334" s="104" t="s">
        <v>178</v>
      </c>
      <c r="G334" s="112" t="s">
        <v>502</v>
      </c>
    </row>
    <row r="335" s="105" customFormat="true" ht="18" hidden="false" customHeight="true" outlineLevel="0" collapsed="false">
      <c r="A335" s="96" t="n">
        <v>104</v>
      </c>
      <c r="B335" s="102" t="s">
        <v>126</v>
      </c>
      <c r="C335" s="103" t="n">
        <v>43517</v>
      </c>
      <c r="D335" s="87" t="n">
        <v>1</v>
      </c>
      <c r="E335" s="99" t="n">
        <v>1</v>
      </c>
      <c r="F335" s="104" t="s">
        <v>178</v>
      </c>
      <c r="G335" s="112" t="s">
        <v>503</v>
      </c>
    </row>
    <row r="336" s="105" customFormat="true" ht="18" hidden="false" customHeight="true" outlineLevel="0" collapsed="false">
      <c r="A336" s="96" t="n">
        <v>104</v>
      </c>
      <c r="B336" s="102" t="s">
        <v>126</v>
      </c>
      <c r="C336" s="103" t="n">
        <v>43516</v>
      </c>
      <c r="D336" s="87" t="n">
        <v>1</v>
      </c>
      <c r="E336" s="99" t="n">
        <v>1</v>
      </c>
      <c r="F336" s="104" t="s">
        <v>178</v>
      </c>
      <c r="G336" s="112" t="s">
        <v>504</v>
      </c>
    </row>
    <row r="337" s="105" customFormat="true" ht="18" hidden="false" customHeight="true" outlineLevel="0" collapsed="false">
      <c r="A337" s="96" t="n">
        <v>104</v>
      </c>
      <c r="B337" s="102" t="s">
        <v>126</v>
      </c>
      <c r="C337" s="103" t="n">
        <v>43515</v>
      </c>
      <c r="D337" s="87" t="n">
        <v>1</v>
      </c>
      <c r="E337" s="99" t="n">
        <v>1</v>
      </c>
      <c r="F337" s="104" t="s">
        <v>178</v>
      </c>
      <c r="G337" s="112" t="s">
        <v>505</v>
      </c>
    </row>
    <row r="338" s="105" customFormat="true" ht="18" hidden="false" customHeight="true" outlineLevel="0" collapsed="false">
      <c r="A338" s="96" t="n">
        <v>104</v>
      </c>
      <c r="B338" s="102" t="s">
        <v>126</v>
      </c>
      <c r="C338" s="103" t="n">
        <v>43514</v>
      </c>
      <c r="D338" s="87" t="n">
        <v>1</v>
      </c>
      <c r="E338" s="99" t="n">
        <v>1</v>
      </c>
      <c r="F338" s="104" t="s">
        <v>178</v>
      </c>
      <c r="G338" s="112" t="s">
        <v>506</v>
      </c>
    </row>
    <row r="339" s="105" customFormat="true" ht="18" hidden="false" customHeight="true" outlineLevel="0" collapsed="false">
      <c r="A339" s="96" t="n">
        <v>104</v>
      </c>
      <c r="B339" s="102" t="s">
        <v>126</v>
      </c>
      <c r="C339" s="103" t="n">
        <v>43513</v>
      </c>
      <c r="D339" s="87" t="n">
        <v>1</v>
      </c>
      <c r="E339" s="99" t="n">
        <v>1</v>
      </c>
      <c r="F339" s="104" t="s">
        <v>178</v>
      </c>
      <c r="G339" s="112" t="s">
        <v>507</v>
      </c>
    </row>
    <row r="340" s="105" customFormat="true" ht="18" hidden="false" customHeight="true" outlineLevel="0" collapsed="false">
      <c r="A340" s="96" t="n">
        <v>116</v>
      </c>
      <c r="B340" s="102" t="s">
        <v>138</v>
      </c>
      <c r="C340" s="103" t="n">
        <v>43511</v>
      </c>
      <c r="D340" s="87" t="n">
        <v>1</v>
      </c>
      <c r="E340" s="99" t="n">
        <v>1</v>
      </c>
      <c r="F340" s="104" t="s">
        <v>178</v>
      </c>
      <c r="G340" s="112" t="s">
        <v>508</v>
      </c>
    </row>
    <row r="341" s="105" customFormat="true" ht="18" hidden="false" customHeight="true" outlineLevel="0" collapsed="false">
      <c r="A341" s="96" t="n">
        <v>106</v>
      </c>
      <c r="B341" s="102" t="s">
        <v>128</v>
      </c>
      <c r="C341" s="103" t="n">
        <v>43514</v>
      </c>
      <c r="D341" s="87" t="n">
        <v>1</v>
      </c>
      <c r="E341" s="99" t="n">
        <v>1</v>
      </c>
      <c r="F341" s="104" t="s">
        <v>178</v>
      </c>
      <c r="G341" s="112" t="s">
        <v>509</v>
      </c>
    </row>
    <row r="342" s="105" customFormat="true" ht="18" hidden="false" customHeight="true" outlineLevel="0" collapsed="false">
      <c r="A342" s="96" t="n">
        <v>104</v>
      </c>
      <c r="B342" s="102" t="s">
        <v>126</v>
      </c>
      <c r="C342" s="103" t="n">
        <v>43513</v>
      </c>
      <c r="D342" s="87" t="n">
        <v>1</v>
      </c>
      <c r="E342" s="99" t="n">
        <v>1</v>
      </c>
      <c r="F342" s="104" t="s">
        <v>178</v>
      </c>
      <c r="G342" s="112" t="s">
        <v>510</v>
      </c>
    </row>
    <row r="343" s="105" customFormat="true" ht="18" hidden="false" customHeight="true" outlineLevel="0" collapsed="false">
      <c r="A343" s="96" t="n">
        <v>105</v>
      </c>
      <c r="B343" s="102" t="s">
        <v>127</v>
      </c>
      <c r="C343" s="103" t="n">
        <v>43511</v>
      </c>
      <c r="D343" s="87" t="n">
        <v>1</v>
      </c>
      <c r="E343" s="99" t="n">
        <v>1</v>
      </c>
      <c r="F343" s="104" t="s">
        <v>178</v>
      </c>
      <c r="G343" s="112" t="s">
        <v>511</v>
      </c>
    </row>
    <row r="344" s="105" customFormat="true" ht="18" hidden="false" customHeight="true" outlineLevel="0" collapsed="false">
      <c r="A344" s="96" t="n">
        <v>104</v>
      </c>
      <c r="B344" s="102" t="s">
        <v>126</v>
      </c>
      <c r="C344" s="103" t="n">
        <v>43510</v>
      </c>
      <c r="D344" s="87" t="n">
        <v>1</v>
      </c>
      <c r="E344" s="99" t="n">
        <v>1</v>
      </c>
      <c r="F344" s="104" t="s">
        <v>178</v>
      </c>
      <c r="G344" s="112" t="s">
        <v>512</v>
      </c>
    </row>
    <row r="345" s="105" customFormat="true" ht="18" hidden="false" customHeight="true" outlineLevel="0" collapsed="false">
      <c r="A345" s="96" t="n">
        <v>104</v>
      </c>
      <c r="B345" s="102" t="s">
        <v>126</v>
      </c>
      <c r="C345" s="103" t="n">
        <v>43509</v>
      </c>
      <c r="D345" s="87" t="n">
        <v>1</v>
      </c>
      <c r="E345" s="99" t="n">
        <v>1</v>
      </c>
      <c r="F345" s="104" t="s">
        <v>178</v>
      </c>
      <c r="G345" s="112" t="s">
        <v>513</v>
      </c>
    </row>
    <row r="346" s="105" customFormat="true" ht="18" hidden="false" customHeight="true" outlineLevel="0" collapsed="false">
      <c r="A346" s="96" t="n">
        <v>104</v>
      </c>
      <c r="B346" s="102" t="s">
        <v>126</v>
      </c>
      <c r="C346" s="103" t="n">
        <v>43509</v>
      </c>
      <c r="D346" s="87" t="n">
        <v>1</v>
      </c>
      <c r="E346" s="99" t="n">
        <v>1</v>
      </c>
      <c r="F346" s="104" t="s">
        <v>178</v>
      </c>
      <c r="G346" s="112" t="s">
        <v>514</v>
      </c>
    </row>
    <row r="347" s="105" customFormat="true" ht="18" hidden="false" customHeight="true" outlineLevel="0" collapsed="false">
      <c r="A347" s="96" t="n">
        <v>132</v>
      </c>
      <c r="B347" s="102" t="s">
        <v>154</v>
      </c>
      <c r="C347" s="103" t="n">
        <v>43508</v>
      </c>
      <c r="D347" s="87" t="n">
        <v>1</v>
      </c>
      <c r="E347" s="99" t="n">
        <v>1</v>
      </c>
      <c r="F347" s="104" t="s">
        <v>178</v>
      </c>
      <c r="G347" s="112" t="s">
        <v>515</v>
      </c>
    </row>
    <row r="348" s="105" customFormat="true" ht="18" hidden="false" customHeight="true" outlineLevel="0" collapsed="false">
      <c r="A348" s="96" t="n">
        <v>104</v>
      </c>
      <c r="B348" s="102" t="s">
        <v>126</v>
      </c>
      <c r="C348" s="103" t="n">
        <v>43508</v>
      </c>
      <c r="D348" s="87" t="n">
        <v>1</v>
      </c>
      <c r="E348" s="99" t="n">
        <v>1</v>
      </c>
      <c r="F348" s="104" t="s">
        <v>178</v>
      </c>
      <c r="G348" s="112" t="s">
        <v>516</v>
      </c>
    </row>
    <row r="349" s="105" customFormat="true" ht="18" hidden="false" customHeight="true" outlineLevel="0" collapsed="false">
      <c r="A349" s="96" t="n">
        <v>115</v>
      </c>
      <c r="B349" s="102" t="s">
        <v>137</v>
      </c>
      <c r="C349" s="103" t="n">
        <v>43508</v>
      </c>
      <c r="D349" s="87" t="n">
        <v>1</v>
      </c>
      <c r="E349" s="99" t="n">
        <v>1</v>
      </c>
      <c r="F349" s="104" t="s">
        <v>178</v>
      </c>
      <c r="G349" s="112" t="s">
        <v>517</v>
      </c>
    </row>
    <row r="350" s="105" customFormat="true" ht="18" hidden="false" customHeight="true" outlineLevel="0" collapsed="false">
      <c r="A350" s="96" t="n">
        <v>104</v>
      </c>
      <c r="B350" s="102" t="s">
        <v>126</v>
      </c>
      <c r="C350" s="103" t="n">
        <v>43508</v>
      </c>
      <c r="D350" s="87" t="n">
        <v>1</v>
      </c>
      <c r="E350" s="99" t="n">
        <v>1</v>
      </c>
      <c r="F350" s="104" t="s">
        <v>178</v>
      </c>
      <c r="G350" s="112" t="s">
        <v>518</v>
      </c>
    </row>
    <row r="351" s="105" customFormat="true" ht="18" hidden="false" customHeight="true" outlineLevel="0" collapsed="false">
      <c r="A351" s="96" t="n">
        <v>104</v>
      </c>
      <c r="B351" s="102" t="s">
        <v>126</v>
      </c>
      <c r="C351" s="103" t="n">
        <v>43508</v>
      </c>
      <c r="D351" s="87" t="n">
        <v>1</v>
      </c>
      <c r="E351" s="99" t="n">
        <v>1</v>
      </c>
      <c r="F351" s="104" t="s">
        <v>178</v>
      </c>
      <c r="G351" s="112" t="s">
        <v>518</v>
      </c>
    </row>
    <row r="352" s="105" customFormat="true" ht="18" hidden="false" customHeight="true" outlineLevel="0" collapsed="false">
      <c r="A352" s="96" t="n">
        <v>104</v>
      </c>
      <c r="B352" s="102" t="s">
        <v>126</v>
      </c>
      <c r="C352" s="103" t="n">
        <v>43507</v>
      </c>
      <c r="D352" s="87" t="n">
        <v>1</v>
      </c>
      <c r="E352" s="99" t="n">
        <v>1</v>
      </c>
      <c r="F352" s="104" t="s">
        <v>178</v>
      </c>
      <c r="G352" s="112" t="s">
        <v>519</v>
      </c>
    </row>
    <row r="353" s="105" customFormat="true" ht="18" hidden="false" customHeight="true" outlineLevel="0" collapsed="false">
      <c r="A353" s="96" t="n">
        <v>104</v>
      </c>
      <c r="B353" s="102" t="s">
        <v>126</v>
      </c>
      <c r="C353" s="103" t="n">
        <v>43507</v>
      </c>
      <c r="D353" s="87" t="n">
        <v>1</v>
      </c>
      <c r="E353" s="99" t="n">
        <v>1</v>
      </c>
      <c r="F353" s="104" t="s">
        <v>178</v>
      </c>
      <c r="G353" s="112" t="s">
        <v>520</v>
      </c>
    </row>
    <row r="354" s="105" customFormat="true" ht="18" hidden="false" customHeight="true" outlineLevel="0" collapsed="false">
      <c r="A354" s="96" t="n">
        <v>104</v>
      </c>
      <c r="B354" s="102" t="s">
        <v>126</v>
      </c>
      <c r="C354" s="103" t="n">
        <v>43507</v>
      </c>
      <c r="D354" s="87" t="n">
        <v>1</v>
      </c>
      <c r="E354" s="99" t="n">
        <v>1</v>
      </c>
      <c r="F354" s="104" t="s">
        <v>178</v>
      </c>
      <c r="G354" s="112" t="s">
        <v>521</v>
      </c>
    </row>
    <row r="355" s="105" customFormat="true" ht="18" hidden="false" customHeight="true" outlineLevel="0" collapsed="false">
      <c r="A355" s="96" t="n">
        <v>104</v>
      </c>
      <c r="B355" s="102" t="s">
        <v>126</v>
      </c>
      <c r="C355" s="103" t="n">
        <v>43507</v>
      </c>
      <c r="D355" s="87" t="n">
        <v>1</v>
      </c>
      <c r="E355" s="99" t="n">
        <v>1</v>
      </c>
      <c r="F355" s="104" t="s">
        <v>178</v>
      </c>
      <c r="G355" s="112" t="s">
        <v>522</v>
      </c>
    </row>
    <row r="356" s="105" customFormat="true" ht="18" hidden="false" customHeight="true" outlineLevel="0" collapsed="false">
      <c r="A356" s="96" t="n">
        <v>104</v>
      </c>
      <c r="B356" s="102" t="s">
        <v>126</v>
      </c>
      <c r="C356" s="103" t="n">
        <v>43506</v>
      </c>
      <c r="D356" s="87" t="n">
        <v>3</v>
      </c>
      <c r="E356" s="99" t="n">
        <v>1</v>
      </c>
      <c r="F356" s="104" t="s">
        <v>178</v>
      </c>
      <c r="G356" s="112" t="s">
        <v>523</v>
      </c>
    </row>
    <row r="357" s="105" customFormat="true" ht="18" hidden="false" customHeight="true" outlineLevel="0" collapsed="false">
      <c r="A357" s="96" t="n">
        <v>104</v>
      </c>
      <c r="B357" s="102" t="s">
        <v>126</v>
      </c>
      <c r="C357" s="103" t="n">
        <v>43506</v>
      </c>
      <c r="D357" s="87" t="n">
        <v>1</v>
      </c>
      <c r="E357" s="99" t="n">
        <v>1</v>
      </c>
      <c r="F357" s="104" t="s">
        <v>178</v>
      </c>
      <c r="G357" s="112" t="s">
        <v>524</v>
      </c>
    </row>
    <row r="358" s="105" customFormat="true" ht="18" hidden="false" customHeight="true" outlineLevel="0" collapsed="false">
      <c r="A358" s="96" t="n">
        <v>104</v>
      </c>
      <c r="B358" s="102" t="s">
        <v>126</v>
      </c>
      <c r="C358" s="103" t="n">
        <v>43504</v>
      </c>
      <c r="D358" s="87" t="n">
        <v>1</v>
      </c>
      <c r="E358" s="99" t="n">
        <v>1</v>
      </c>
      <c r="F358" s="104" t="s">
        <v>178</v>
      </c>
      <c r="G358" s="112" t="s">
        <v>525</v>
      </c>
    </row>
    <row r="359" s="105" customFormat="true" ht="18" hidden="false" customHeight="true" outlineLevel="0" collapsed="false">
      <c r="A359" s="96" t="n">
        <v>104</v>
      </c>
      <c r="B359" s="102" t="s">
        <v>126</v>
      </c>
      <c r="C359" s="103" t="n">
        <v>43503</v>
      </c>
      <c r="D359" s="87" t="n">
        <v>1</v>
      </c>
      <c r="E359" s="99" t="n">
        <v>1</v>
      </c>
      <c r="F359" s="104" t="s">
        <v>178</v>
      </c>
      <c r="G359" s="112" t="s">
        <v>526</v>
      </c>
    </row>
    <row r="360" s="105" customFormat="true" ht="18" hidden="false" customHeight="true" outlineLevel="0" collapsed="false">
      <c r="A360" s="96" t="n">
        <v>104</v>
      </c>
      <c r="B360" s="102" t="s">
        <v>126</v>
      </c>
      <c r="C360" s="103" t="n">
        <v>43471</v>
      </c>
      <c r="D360" s="87" t="n">
        <v>2</v>
      </c>
      <c r="E360" s="99" t="n">
        <v>1</v>
      </c>
      <c r="F360" s="104" t="s">
        <v>178</v>
      </c>
      <c r="G360" s="112" t="s">
        <v>527</v>
      </c>
    </row>
    <row r="361" s="105" customFormat="true" ht="18" hidden="false" customHeight="true" outlineLevel="0" collapsed="false">
      <c r="A361" s="96" t="n">
        <v>104</v>
      </c>
      <c r="B361" s="102" t="s">
        <v>126</v>
      </c>
      <c r="C361" s="103" t="n">
        <v>43501</v>
      </c>
      <c r="D361" s="87" t="n">
        <v>1</v>
      </c>
      <c r="E361" s="99" t="n">
        <v>1</v>
      </c>
      <c r="F361" s="104" t="s">
        <v>178</v>
      </c>
      <c r="G361" s="112" t="s">
        <v>528</v>
      </c>
    </row>
    <row r="362" s="105" customFormat="true" ht="18" hidden="false" customHeight="true" outlineLevel="0" collapsed="false">
      <c r="A362" s="96" t="n">
        <v>113</v>
      </c>
      <c r="B362" s="102" t="s">
        <v>135</v>
      </c>
      <c r="C362" s="103" t="n">
        <v>43499</v>
      </c>
      <c r="D362" s="87" t="n">
        <v>1</v>
      </c>
      <c r="E362" s="99" t="n">
        <v>1</v>
      </c>
      <c r="F362" s="104" t="s">
        <v>178</v>
      </c>
      <c r="G362" s="112" t="s">
        <v>529</v>
      </c>
    </row>
    <row r="363" s="105" customFormat="true" ht="18" hidden="false" customHeight="true" outlineLevel="0" collapsed="false">
      <c r="A363" s="96" t="n">
        <v>116</v>
      </c>
      <c r="B363" s="102" t="s">
        <v>138</v>
      </c>
      <c r="C363" s="103" t="n">
        <v>43497</v>
      </c>
      <c r="D363" s="87" t="n">
        <v>1</v>
      </c>
      <c r="E363" s="99" t="n">
        <v>1</v>
      </c>
      <c r="F363" s="104" t="s">
        <v>178</v>
      </c>
      <c r="G363" s="112" t="s">
        <v>530</v>
      </c>
    </row>
    <row r="364" s="105" customFormat="true" ht="18" hidden="false" customHeight="true" outlineLevel="0" collapsed="false">
      <c r="A364" s="96" t="n">
        <v>104</v>
      </c>
      <c r="B364" s="102" t="s">
        <v>126</v>
      </c>
      <c r="C364" s="103" t="n">
        <v>43497</v>
      </c>
      <c r="D364" s="87" t="n">
        <v>1</v>
      </c>
      <c r="E364" s="99" t="n">
        <v>1</v>
      </c>
      <c r="F364" s="104" t="s">
        <v>178</v>
      </c>
      <c r="G364" s="112" t="s">
        <v>531</v>
      </c>
    </row>
    <row r="365" s="105" customFormat="true" ht="18" hidden="false" customHeight="true" outlineLevel="0" collapsed="false">
      <c r="A365" s="96" t="n">
        <v>104</v>
      </c>
      <c r="B365" s="102" t="s">
        <v>126</v>
      </c>
      <c r="C365" s="103" t="n">
        <v>43495</v>
      </c>
      <c r="D365" s="87" t="n">
        <v>1</v>
      </c>
      <c r="E365" s="99" t="n">
        <v>1</v>
      </c>
      <c r="F365" s="104" t="s">
        <v>178</v>
      </c>
      <c r="G365" s="112" t="s">
        <v>532</v>
      </c>
    </row>
    <row r="366" s="105" customFormat="true" ht="18" hidden="false" customHeight="true" outlineLevel="0" collapsed="false">
      <c r="A366" s="96" t="n">
        <v>104</v>
      </c>
      <c r="B366" s="102" t="s">
        <v>126</v>
      </c>
      <c r="C366" s="103" t="n">
        <v>43495</v>
      </c>
      <c r="D366" s="87" t="n">
        <v>1</v>
      </c>
      <c r="E366" s="99" t="n">
        <v>1</v>
      </c>
      <c r="F366" s="104" t="s">
        <v>178</v>
      </c>
      <c r="G366" s="112" t="s">
        <v>533</v>
      </c>
    </row>
    <row r="367" s="105" customFormat="true" ht="18" hidden="false" customHeight="true" outlineLevel="0" collapsed="false">
      <c r="A367" s="96" t="n">
        <v>104</v>
      </c>
      <c r="B367" s="102" t="s">
        <v>126</v>
      </c>
      <c r="C367" s="103" t="n">
        <v>43494</v>
      </c>
      <c r="D367" s="87" t="n">
        <v>2</v>
      </c>
      <c r="E367" s="99" t="n">
        <v>1</v>
      </c>
      <c r="F367" s="104" t="s">
        <v>178</v>
      </c>
      <c r="G367" s="112" t="s">
        <v>534</v>
      </c>
    </row>
    <row r="368" s="105" customFormat="true" ht="18" hidden="false" customHeight="true" outlineLevel="0" collapsed="false">
      <c r="A368" s="96" t="n">
        <v>104</v>
      </c>
      <c r="B368" s="102" t="s">
        <v>126</v>
      </c>
      <c r="C368" s="103" t="n">
        <v>43493</v>
      </c>
      <c r="D368" s="87" t="n">
        <v>3</v>
      </c>
      <c r="E368" s="99" t="n">
        <v>1</v>
      </c>
      <c r="F368" s="104" t="s">
        <v>178</v>
      </c>
      <c r="G368" s="112" t="s">
        <v>535</v>
      </c>
    </row>
    <row r="369" s="105" customFormat="true" ht="18" hidden="false" customHeight="true" outlineLevel="0" collapsed="false">
      <c r="A369" s="96" t="n">
        <v>108</v>
      </c>
      <c r="B369" s="102" t="s">
        <v>130</v>
      </c>
      <c r="C369" s="103" t="n">
        <v>43490</v>
      </c>
      <c r="D369" s="87" t="n">
        <v>1</v>
      </c>
      <c r="E369" s="99" t="n">
        <v>1</v>
      </c>
      <c r="F369" s="104" t="s">
        <v>178</v>
      </c>
      <c r="G369" s="112" t="s">
        <v>536</v>
      </c>
    </row>
    <row r="370" s="105" customFormat="true" ht="18" hidden="false" customHeight="true" outlineLevel="0" collapsed="false">
      <c r="A370" s="96" t="n">
        <v>104</v>
      </c>
      <c r="B370" s="102" t="s">
        <v>126</v>
      </c>
      <c r="C370" s="103" t="n">
        <v>43490</v>
      </c>
      <c r="D370" s="87" t="n">
        <v>1</v>
      </c>
      <c r="E370" s="99" t="n">
        <v>1</v>
      </c>
      <c r="F370" s="104" t="s">
        <v>178</v>
      </c>
      <c r="G370" s="112"/>
    </row>
    <row r="371" s="105" customFormat="true" ht="18" hidden="false" customHeight="true" outlineLevel="0" collapsed="false">
      <c r="A371" s="96" t="n">
        <v>104</v>
      </c>
      <c r="B371" s="102" t="s">
        <v>126</v>
      </c>
      <c r="C371" s="103" t="n">
        <v>43489</v>
      </c>
      <c r="D371" s="87" t="n">
        <v>3</v>
      </c>
      <c r="E371" s="99" t="n">
        <v>1</v>
      </c>
      <c r="F371" s="104" t="s">
        <v>178</v>
      </c>
      <c r="G371" s="112" t="s">
        <v>537</v>
      </c>
    </row>
    <row r="372" s="105" customFormat="true" ht="18" hidden="false" customHeight="true" outlineLevel="0" collapsed="false">
      <c r="A372" s="96" t="n">
        <v>104</v>
      </c>
      <c r="B372" s="102" t="s">
        <v>126</v>
      </c>
      <c r="C372" s="103" t="n">
        <v>43488</v>
      </c>
      <c r="D372" s="87" t="n">
        <v>1</v>
      </c>
      <c r="E372" s="99" t="n">
        <v>1</v>
      </c>
      <c r="F372" s="104" t="s">
        <v>178</v>
      </c>
      <c r="G372" s="112" t="s">
        <v>538</v>
      </c>
    </row>
    <row r="373" s="105" customFormat="true" ht="18" hidden="false" customHeight="true" outlineLevel="0" collapsed="false">
      <c r="A373" s="96" t="n">
        <v>104</v>
      </c>
      <c r="B373" s="102" t="s">
        <v>126</v>
      </c>
      <c r="C373" s="103" t="n">
        <v>43487</v>
      </c>
      <c r="D373" s="87" t="n">
        <v>1</v>
      </c>
      <c r="E373" s="99" t="n">
        <v>1</v>
      </c>
      <c r="F373" s="104" t="s">
        <v>178</v>
      </c>
      <c r="G373" s="112" t="s">
        <v>539</v>
      </c>
    </row>
    <row r="374" s="105" customFormat="true" ht="18" hidden="false" customHeight="true" outlineLevel="0" collapsed="false">
      <c r="A374" s="96" t="n">
        <v>104</v>
      </c>
      <c r="B374" s="102" t="s">
        <v>126</v>
      </c>
      <c r="C374" s="103" t="n">
        <v>43486</v>
      </c>
      <c r="D374" s="87" t="n">
        <v>2</v>
      </c>
      <c r="E374" s="99" t="n">
        <v>1</v>
      </c>
      <c r="F374" s="104" t="s">
        <v>178</v>
      </c>
      <c r="G374" s="112" t="s">
        <v>540</v>
      </c>
    </row>
    <row r="375" s="105" customFormat="true" ht="18" hidden="false" customHeight="true" outlineLevel="0" collapsed="false">
      <c r="A375" s="96" t="n">
        <v>116</v>
      </c>
      <c r="B375" s="102" t="s">
        <v>138</v>
      </c>
      <c r="C375" s="103" t="n">
        <v>43486</v>
      </c>
      <c r="D375" s="87" t="n">
        <v>1</v>
      </c>
      <c r="E375" s="99" t="n">
        <v>1</v>
      </c>
      <c r="F375" s="104" t="s">
        <v>178</v>
      </c>
      <c r="G375" s="112" t="s">
        <v>541</v>
      </c>
    </row>
    <row r="376" s="105" customFormat="true" ht="18" hidden="false" customHeight="true" outlineLevel="0" collapsed="false">
      <c r="A376" s="96" t="n">
        <v>104</v>
      </c>
      <c r="B376" s="102" t="s">
        <v>126</v>
      </c>
      <c r="C376" s="103" t="n">
        <v>43486</v>
      </c>
      <c r="D376" s="87" t="n">
        <v>1</v>
      </c>
      <c r="E376" s="99" t="n">
        <v>1</v>
      </c>
      <c r="F376" s="104" t="s">
        <v>178</v>
      </c>
      <c r="G376" s="112" t="s">
        <v>542</v>
      </c>
    </row>
    <row r="377" s="105" customFormat="true" ht="18" hidden="false" customHeight="true" outlineLevel="0" collapsed="false">
      <c r="A377" s="96" t="n">
        <v>104</v>
      </c>
      <c r="B377" s="102" t="s">
        <v>126</v>
      </c>
      <c r="C377" s="103" t="n">
        <v>43482</v>
      </c>
      <c r="D377" s="87" t="n">
        <v>1</v>
      </c>
      <c r="E377" s="99" t="n">
        <v>1</v>
      </c>
      <c r="F377" s="104" t="s">
        <v>178</v>
      </c>
      <c r="G377" s="112" t="s">
        <v>540</v>
      </c>
    </row>
    <row r="378" s="105" customFormat="true" ht="18" hidden="false" customHeight="true" outlineLevel="0" collapsed="false">
      <c r="A378" s="96" t="n">
        <v>104</v>
      </c>
      <c r="B378" s="102" t="s">
        <v>126</v>
      </c>
      <c r="C378" s="103" t="n">
        <v>43482</v>
      </c>
      <c r="D378" s="87" t="n">
        <v>1</v>
      </c>
      <c r="E378" s="99" t="n">
        <v>1</v>
      </c>
      <c r="F378" s="104" t="s">
        <v>178</v>
      </c>
      <c r="G378" s="112" t="s">
        <v>543</v>
      </c>
    </row>
    <row r="379" s="105" customFormat="true" ht="18" hidden="false" customHeight="true" outlineLevel="0" collapsed="false">
      <c r="A379" s="96" t="n">
        <v>104</v>
      </c>
      <c r="B379" s="102" t="s">
        <v>126</v>
      </c>
      <c r="C379" s="103" t="n">
        <v>43480</v>
      </c>
      <c r="D379" s="87" t="n">
        <v>1</v>
      </c>
      <c r="E379" s="99" t="n">
        <v>1</v>
      </c>
      <c r="F379" s="104" t="s">
        <v>178</v>
      </c>
      <c r="G379" s="112" t="s">
        <v>544</v>
      </c>
    </row>
    <row r="380" s="105" customFormat="true" ht="18" hidden="false" customHeight="true" outlineLevel="0" collapsed="false">
      <c r="A380" s="96" t="n">
        <v>104</v>
      </c>
      <c r="B380" s="102" t="s">
        <v>126</v>
      </c>
      <c r="C380" s="103" t="n">
        <v>43479</v>
      </c>
      <c r="D380" s="87" t="n">
        <v>1</v>
      </c>
      <c r="E380" s="99" t="n">
        <v>1</v>
      </c>
      <c r="F380" s="104" t="s">
        <v>178</v>
      </c>
      <c r="G380" s="112" t="s">
        <v>545</v>
      </c>
    </row>
    <row r="381" s="105" customFormat="true" ht="18" hidden="false" customHeight="true" outlineLevel="0" collapsed="false">
      <c r="A381" s="96" t="n">
        <v>104</v>
      </c>
      <c r="B381" s="102" t="s">
        <v>126</v>
      </c>
      <c r="C381" s="103" t="n">
        <v>43479</v>
      </c>
      <c r="D381" s="87" t="n">
        <v>1</v>
      </c>
      <c r="E381" s="99" t="n">
        <v>1</v>
      </c>
      <c r="F381" s="104" t="s">
        <v>178</v>
      </c>
      <c r="G381" s="112" t="s">
        <v>546</v>
      </c>
    </row>
    <row r="382" s="105" customFormat="true" ht="18" hidden="false" customHeight="true" outlineLevel="0" collapsed="false">
      <c r="A382" s="96" t="n">
        <v>116</v>
      </c>
      <c r="B382" s="102" t="s">
        <v>138</v>
      </c>
      <c r="C382" s="103" t="n">
        <v>43479</v>
      </c>
      <c r="D382" s="87" t="n">
        <v>1</v>
      </c>
      <c r="E382" s="99" t="n">
        <v>1</v>
      </c>
      <c r="F382" s="104" t="s">
        <v>178</v>
      </c>
      <c r="G382" s="112" t="s">
        <v>547</v>
      </c>
    </row>
    <row r="383" s="105" customFormat="true" ht="18" hidden="false" customHeight="true" outlineLevel="0" collapsed="false">
      <c r="A383" s="96" t="n">
        <v>106</v>
      </c>
      <c r="B383" s="102" t="s">
        <v>128</v>
      </c>
      <c r="C383" s="103" t="n">
        <v>43479</v>
      </c>
      <c r="D383" s="87" t="n">
        <v>1</v>
      </c>
      <c r="E383" s="99" t="n">
        <v>1</v>
      </c>
      <c r="F383" s="104" t="s">
        <v>178</v>
      </c>
      <c r="G383" s="112" t="s">
        <v>548</v>
      </c>
    </row>
    <row r="384" s="105" customFormat="true" ht="18" hidden="false" customHeight="true" outlineLevel="0" collapsed="false">
      <c r="A384" s="96" t="n">
        <v>104</v>
      </c>
      <c r="B384" s="102" t="s">
        <v>126</v>
      </c>
      <c r="C384" s="103" t="n">
        <v>43479</v>
      </c>
      <c r="D384" s="87" t="n">
        <v>1</v>
      </c>
      <c r="E384" s="99" t="n">
        <v>1</v>
      </c>
      <c r="F384" s="104" t="s">
        <v>178</v>
      </c>
      <c r="G384" s="112" t="s">
        <v>549</v>
      </c>
    </row>
    <row r="385" s="105" customFormat="true" ht="18" hidden="false" customHeight="true" outlineLevel="0" collapsed="false">
      <c r="A385" s="96" t="n">
        <v>104</v>
      </c>
      <c r="B385" s="102" t="s">
        <v>126</v>
      </c>
      <c r="C385" s="103" t="n">
        <v>43479</v>
      </c>
      <c r="D385" s="87" t="n">
        <v>1</v>
      </c>
      <c r="E385" s="99" t="n">
        <v>1</v>
      </c>
      <c r="F385" s="104" t="s">
        <v>178</v>
      </c>
      <c r="G385" s="112" t="s">
        <v>550</v>
      </c>
    </row>
    <row r="386" s="105" customFormat="true" ht="18" hidden="false" customHeight="true" outlineLevel="0" collapsed="false">
      <c r="A386" s="96" t="n">
        <v>104</v>
      </c>
      <c r="B386" s="102" t="s">
        <v>126</v>
      </c>
      <c r="C386" s="103" t="n">
        <v>43476</v>
      </c>
      <c r="D386" s="87" t="n">
        <v>1</v>
      </c>
      <c r="E386" s="99" t="n">
        <v>1</v>
      </c>
      <c r="F386" s="104" t="s">
        <v>178</v>
      </c>
      <c r="G386" s="112" t="s">
        <v>551</v>
      </c>
    </row>
    <row r="387" s="105" customFormat="true" ht="18" hidden="false" customHeight="true" outlineLevel="0" collapsed="false">
      <c r="A387" s="96" t="n">
        <v>104</v>
      </c>
      <c r="B387" s="102" t="s">
        <v>126</v>
      </c>
      <c r="C387" s="103" t="n">
        <v>43476</v>
      </c>
      <c r="D387" s="87" t="n">
        <v>1</v>
      </c>
      <c r="E387" s="99" t="n">
        <v>1</v>
      </c>
      <c r="F387" s="104" t="s">
        <v>178</v>
      </c>
      <c r="G387" s="112" t="s">
        <v>552</v>
      </c>
    </row>
    <row r="388" s="105" customFormat="true" ht="18" hidden="false" customHeight="true" outlineLevel="0" collapsed="false">
      <c r="A388" s="96" t="n">
        <v>104</v>
      </c>
      <c r="B388" s="102" t="s">
        <v>126</v>
      </c>
      <c r="C388" s="103" t="n">
        <v>43475</v>
      </c>
      <c r="D388" s="87" t="n">
        <v>1</v>
      </c>
      <c r="E388" s="99" t="n">
        <v>1</v>
      </c>
      <c r="F388" s="104" t="s">
        <v>178</v>
      </c>
      <c r="G388" s="112" t="s">
        <v>553</v>
      </c>
    </row>
    <row r="389" s="105" customFormat="true" ht="18" hidden="false" customHeight="true" outlineLevel="0" collapsed="false">
      <c r="A389" s="96" t="n">
        <v>104</v>
      </c>
      <c r="B389" s="102" t="s">
        <v>126</v>
      </c>
      <c r="C389" s="103" t="n">
        <v>43475</v>
      </c>
      <c r="D389" s="87" t="n">
        <v>1</v>
      </c>
      <c r="E389" s="99" t="n">
        <v>1</v>
      </c>
      <c r="F389" s="104" t="s">
        <v>178</v>
      </c>
      <c r="G389" s="112" t="s">
        <v>554</v>
      </c>
    </row>
    <row r="390" s="105" customFormat="true" ht="18" hidden="false" customHeight="true" outlineLevel="0" collapsed="false">
      <c r="A390" s="96" t="n">
        <v>104</v>
      </c>
      <c r="B390" s="102" t="s">
        <v>126</v>
      </c>
      <c r="C390" s="103" t="n">
        <v>43475</v>
      </c>
      <c r="D390" s="87" t="n">
        <v>1</v>
      </c>
      <c r="E390" s="99" t="n">
        <v>1</v>
      </c>
      <c r="F390" s="104" t="s">
        <v>178</v>
      </c>
      <c r="G390" s="112" t="s">
        <v>555</v>
      </c>
    </row>
    <row r="391" s="105" customFormat="true" ht="18" hidden="false" customHeight="true" outlineLevel="0" collapsed="false">
      <c r="A391" s="96" t="n">
        <v>104</v>
      </c>
      <c r="B391" s="102" t="s">
        <v>126</v>
      </c>
      <c r="C391" s="103" t="n">
        <v>43475</v>
      </c>
      <c r="D391" s="87" t="n">
        <v>1</v>
      </c>
      <c r="E391" s="99" t="n">
        <v>1</v>
      </c>
      <c r="F391" s="104" t="s">
        <v>178</v>
      </c>
      <c r="G391" s="112" t="s">
        <v>556</v>
      </c>
    </row>
    <row r="392" s="105" customFormat="true" ht="18" hidden="false" customHeight="true" outlineLevel="0" collapsed="false">
      <c r="A392" s="96" t="n">
        <v>104</v>
      </c>
      <c r="B392" s="102" t="s">
        <v>126</v>
      </c>
      <c r="C392" s="103" t="n">
        <v>43474</v>
      </c>
      <c r="D392" s="87" t="n">
        <v>1</v>
      </c>
      <c r="E392" s="99" t="n">
        <v>1</v>
      </c>
      <c r="F392" s="104" t="s">
        <v>178</v>
      </c>
      <c r="G392" s="112" t="s">
        <v>557</v>
      </c>
    </row>
    <row r="393" s="105" customFormat="true" ht="18" hidden="false" customHeight="true" outlineLevel="0" collapsed="false">
      <c r="A393" s="96" t="n">
        <v>104</v>
      </c>
      <c r="B393" s="102" t="s">
        <v>126</v>
      </c>
      <c r="C393" s="103" t="n">
        <v>43474</v>
      </c>
      <c r="D393" s="87" t="n">
        <v>1</v>
      </c>
      <c r="E393" s="99" t="n">
        <v>1</v>
      </c>
      <c r="F393" s="104" t="s">
        <v>178</v>
      </c>
      <c r="G393" s="112" t="s">
        <v>558</v>
      </c>
    </row>
    <row r="394" s="105" customFormat="true" ht="18" hidden="false" customHeight="true" outlineLevel="0" collapsed="false">
      <c r="A394" s="96" t="n">
        <v>104</v>
      </c>
      <c r="B394" s="102" t="s">
        <v>126</v>
      </c>
      <c r="C394" s="103" t="n">
        <v>43474</v>
      </c>
      <c r="D394" s="87" t="n">
        <v>1</v>
      </c>
      <c r="E394" s="99" t="n">
        <v>1</v>
      </c>
      <c r="F394" s="104" t="s">
        <v>178</v>
      </c>
      <c r="G394" s="112" t="s">
        <v>559</v>
      </c>
    </row>
    <row r="395" s="105" customFormat="true" ht="18" hidden="false" customHeight="true" outlineLevel="0" collapsed="false">
      <c r="A395" s="96" t="n">
        <v>104</v>
      </c>
      <c r="B395" s="102" t="s">
        <v>126</v>
      </c>
      <c r="C395" s="103" t="n">
        <v>43473</v>
      </c>
      <c r="D395" s="87" t="n">
        <v>1</v>
      </c>
      <c r="E395" s="99" t="n">
        <v>1</v>
      </c>
      <c r="F395" s="104" t="s">
        <v>178</v>
      </c>
      <c r="G395" s="112" t="s">
        <v>560</v>
      </c>
    </row>
    <row r="396" s="105" customFormat="true" ht="18" hidden="false" customHeight="true" outlineLevel="0" collapsed="false">
      <c r="A396" s="96" t="n">
        <v>105</v>
      </c>
      <c r="B396" s="102" t="s">
        <v>127</v>
      </c>
      <c r="C396" s="103" t="n">
        <v>43473</v>
      </c>
      <c r="D396" s="87" t="n">
        <v>1</v>
      </c>
      <c r="E396" s="99" t="n">
        <v>1</v>
      </c>
      <c r="F396" s="104" t="s">
        <v>178</v>
      </c>
      <c r="G396" s="112" t="s">
        <v>561</v>
      </c>
    </row>
    <row r="397" s="105" customFormat="true" ht="18" hidden="false" customHeight="true" outlineLevel="0" collapsed="false">
      <c r="A397" s="96" t="n">
        <v>104</v>
      </c>
      <c r="B397" s="102" t="s">
        <v>126</v>
      </c>
      <c r="C397" s="103" t="n">
        <v>43473</v>
      </c>
      <c r="D397" s="87" t="n">
        <v>1</v>
      </c>
      <c r="E397" s="99" t="n">
        <v>1</v>
      </c>
      <c r="F397" s="104" t="s">
        <v>178</v>
      </c>
      <c r="G397" s="112" t="s">
        <v>562</v>
      </c>
    </row>
    <row r="398" s="105" customFormat="true" ht="18" hidden="false" customHeight="true" outlineLevel="0" collapsed="false">
      <c r="A398" s="96" t="n">
        <v>104</v>
      </c>
      <c r="B398" s="102" t="s">
        <v>126</v>
      </c>
      <c r="C398" s="103" t="n">
        <v>43472</v>
      </c>
      <c r="D398" s="87" t="n">
        <v>1</v>
      </c>
      <c r="E398" s="99" t="n">
        <v>1</v>
      </c>
      <c r="F398" s="104" t="s">
        <v>178</v>
      </c>
      <c r="G398" s="112" t="s">
        <v>563</v>
      </c>
    </row>
    <row r="399" s="105" customFormat="true" ht="18" hidden="false" customHeight="true" outlineLevel="0" collapsed="false">
      <c r="A399" s="96" t="n">
        <v>104</v>
      </c>
      <c r="B399" s="102" t="s">
        <v>126</v>
      </c>
      <c r="C399" s="103" t="n">
        <v>43472</v>
      </c>
      <c r="D399" s="87" t="n">
        <v>1</v>
      </c>
      <c r="E399" s="99" t="n">
        <v>1</v>
      </c>
      <c r="F399" s="104" t="s">
        <v>178</v>
      </c>
      <c r="G399" s="112" t="s">
        <v>564</v>
      </c>
    </row>
    <row r="400" s="105" customFormat="true" ht="18" hidden="false" customHeight="true" outlineLevel="0" collapsed="false">
      <c r="A400" s="96" t="n">
        <v>104</v>
      </c>
      <c r="B400" s="102" t="s">
        <v>126</v>
      </c>
      <c r="C400" s="103" t="n">
        <v>43472</v>
      </c>
      <c r="D400" s="87" t="n">
        <v>1</v>
      </c>
      <c r="E400" s="99" t="n">
        <v>1</v>
      </c>
      <c r="F400" s="104" t="s">
        <v>178</v>
      </c>
      <c r="G400" s="112" t="s">
        <v>565</v>
      </c>
    </row>
    <row r="401" s="105" customFormat="true" ht="18" hidden="false" customHeight="true" outlineLevel="0" collapsed="false">
      <c r="A401" s="96" t="n">
        <v>129</v>
      </c>
      <c r="B401" s="102" t="s">
        <v>151</v>
      </c>
      <c r="C401" s="103" t="n">
        <v>43472</v>
      </c>
      <c r="D401" s="87" t="n">
        <v>1</v>
      </c>
      <c r="E401" s="99" t="n">
        <v>1</v>
      </c>
      <c r="F401" s="104" t="s">
        <v>178</v>
      </c>
      <c r="G401" s="112" t="s">
        <v>566</v>
      </c>
    </row>
    <row r="402" s="105" customFormat="true" ht="18" hidden="false" customHeight="true" outlineLevel="0" collapsed="false">
      <c r="A402" s="96" t="n">
        <v>105</v>
      </c>
      <c r="B402" s="102" t="s">
        <v>127</v>
      </c>
      <c r="C402" s="103" t="n">
        <v>43472</v>
      </c>
      <c r="D402" s="87" t="n">
        <v>1</v>
      </c>
      <c r="E402" s="99" t="n">
        <v>1</v>
      </c>
      <c r="F402" s="104" t="s">
        <v>178</v>
      </c>
      <c r="G402" s="112" t="s">
        <v>567</v>
      </c>
    </row>
    <row r="403" s="105" customFormat="true" ht="18" hidden="false" customHeight="true" outlineLevel="0" collapsed="false">
      <c r="A403" s="96" t="n">
        <v>104</v>
      </c>
      <c r="B403" s="102" t="s">
        <v>126</v>
      </c>
      <c r="C403" s="103" t="n">
        <v>43470</v>
      </c>
      <c r="D403" s="87" t="n">
        <v>1</v>
      </c>
      <c r="E403" s="99" t="n">
        <v>1</v>
      </c>
      <c r="F403" s="104" t="s">
        <v>178</v>
      </c>
      <c r="G403" s="112" t="s">
        <v>568</v>
      </c>
    </row>
    <row r="404" s="105" customFormat="true" ht="18" hidden="false" customHeight="true" outlineLevel="0" collapsed="false">
      <c r="A404" s="96" t="n">
        <v>104</v>
      </c>
      <c r="B404" s="102" t="s">
        <v>126</v>
      </c>
      <c r="C404" s="103" t="n">
        <v>43470</v>
      </c>
      <c r="D404" s="87" t="n">
        <v>1</v>
      </c>
      <c r="E404" s="99" t="n">
        <v>1</v>
      </c>
      <c r="F404" s="104" t="s">
        <v>178</v>
      </c>
      <c r="G404" s="112" t="s">
        <v>569</v>
      </c>
    </row>
    <row r="405" s="105" customFormat="true" ht="18" hidden="false" customHeight="true" outlineLevel="0" collapsed="false">
      <c r="A405" s="96" t="n">
        <v>104</v>
      </c>
      <c r="B405" s="102" t="s">
        <v>126</v>
      </c>
      <c r="C405" s="103" t="n">
        <v>43469</v>
      </c>
      <c r="D405" s="87" t="n">
        <v>1</v>
      </c>
      <c r="E405" s="99" t="n">
        <v>1</v>
      </c>
      <c r="F405" s="104" t="s">
        <v>178</v>
      </c>
      <c r="G405" s="112" t="s">
        <v>570</v>
      </c>
    </row>
    <row r="406" s="105" customFormat="true" ht="18" hidden="false" customHeight="true" outlineLevel="0" collapsed="false">
      <c r="A406" s="96" t="n">
        <v>104</v>
      </c>
      <c r="B406" s="102" t="s">
        <v>126</v>
      </c>
      <c r="C406" s="103" t="n">
        <v>43469</v>
      </c>
      <c r="D406" s="87" t="n">
        <v>1</v>
      </c>
      <c r="E406" s="99" t="n">
        <v>1</v>
      </c>
      <c r="F406" s="104" t="s">
        <v>178</v>
      </c>
      <c r="G406" s="112" t="s">
        <v>570</v>
      </c>
    </row>
    <row r="407" s="105" customFormat="true" ht="18" hidden="false" customHeight="true" outlineLevel="0" collapsed="false">
      <c r="A407" s="96" t="n">
        <v>104</v>
      </c>
      <c r="B407" s="102" t="s">
        <v>126</v>
      </c>
      <c r="C407" s="103" t="n">
        <v>43469</v>
      </c>
      <c r="D407" s="87" t="n">
        <v>1</v>
      </c>
      <c r="E407" s="99" t="n">
        <v>1</v>
      </c>
      <c r="F407" s="104" t="s">
        <v>178</v>
      </c>
      <c r="G407" s="112" t="s">
        <v>571</v>
      </c>
    </row>
    <row r="408" s="105" customFormat="true" ht="18" hidden="false" customHeight="true" outlineLevel="0" collapsed="false">
      <c r="A408" s="96" t="n">
        <v>104</v>
      </c>
      <c r="B408" s="102" t="s">
        <v>126</v>
      </c>
      <c r="C408" s="103" t="n">
        <v>43469</v>
      </c>
      <c r="D408" s="87" t="n">
        <v>1</v>
      </c>
      <c r="E408" s="99" t="n">
        <v>1</v>
      </c>
      <c r="F408" s="104" t="s">
        <v>178</v>
      </c>
      <c r="G408" s="112" t="s">
        <v>572</v>
      </c>
    </row>
    <row r="409" s="105" customFormat="true" ht="18" hidden="false" customHeight="true" outlineLevel="0" collapsed="false">
      <c r="A409" s="96" t="n">
        <v>104</v>
      </c>
      <c r="B409" s="102" t="s">
        <v>126</v>
      </c>
      <c r="C409" s="103" t="n">
        <v>43468</v>
      </c>
      <c r="D409" s="87" t="n">
        <v>1</v>
      </c>
      <c r="E409" s="99" t="n">
        <v>1</v>
      </c>
      <c r="F409" s="104" t="s">
        <v>178</v>
      </c>
      <c r="G409" s="112" t="s">
        <v>573</v>
      </c>
    </row>
    <row r="410" s="105" customFormat="true" ht="18" hidden="false" customHeight="true" outlineLevel="0" collapsed="false">
      <c r="A410" s="96" t="n">
        <v>104</v>
      </c>
      <c r="B410" s="102" t="s">
        <v>126</v>
      </c>
      <c r="C410" s="103" t="n">
        <v>43468</v>
      </c>
      <c r="D410" s="87" t="n">
        <v>1</v>
      </c>
      <c r="E410" s="99" t="n">
        <v>1</v>
      </c>
      <c r="F410" s="104" t="s">
        <v>178</v>
      </c>
      <c r="G410" s="112" t="s">
        <v>574</v>
      </c>
    </row>
    <row r="411" s="105" customFormat="true" ht="18" hidden="false" customHeight="true" outlineLevel="0" collapsed="false">
      <c r="A411" s="96" t="n">
        <v>104</v>
      </c>
      <c r="B411" s="102" t="s">
        <v>126</v>
      </c>
      <c r="C411" s="103" t="n">
        <v>43468</v>
      </c>
      <c r="D411" s="87" t="n">
        <v>1</v>
      </c>
      <c r="E411" s="99" t="n">
        <v>1</v>
      </c>
      <c r="F411" s="104" t="s">
        <v>178</v>
      </c>
      <c r="G411" s="112" t="s">
        <v>575</v>
      </c>
    </row>
    <row r="412" s="105" customFormat="true" ht="18" hidden="false" customHeight="true" outlineLevel="0" collapsed="false">
      <c r="A412" s="96" t="n">
        <v>104</v>
      </c>
      <c r="B412" s="102" t="s">
        <v>126</v>
      </c>
      <c r="C412" s="103" t="n">
        <v>43468</v>
      </c>
      <c r="D412" s="87" t="n">
        <v>1</v>
      </c>
      <c r="E412" s="99" t="n">
        <v>1</v>
      </c>
      <c r="F412" s="104" t="s">
        <v>178</v>
      </c>
      <c r="G412" s="112" t="s">
        <v>576</v>
      </c>
    </row>
    <row r="413" s="105" customFormat="true" ht="18" hidden="false" customHeight="true" outlineLevel="0" collapsed="false">
      <c r="A413" s="96" t="n">
        <v>104</v>
      </c>
      <c r="B413" s="102" t="s">
        <v>126</v>
      </c>
      <c r="C413" s="103" t="n">
        <v>43468</v>
      </c>
      <c r="D413" s="87" t="n">
        <v>1</v>
      </c>
      <c r="E413" s="99" t="n">
        <v>1</v>
      </c>
      <c r="F413" s="104" t="s">
        <v>178</v>
      </c>
      <c r="G413" s="112" t="s">
        <v>577</v>
      </c>
    </row>
    <row r="414" s="105" customFormat="true" ht="18" hidden="false" customHeight="true" outlineLevel="0" collapsed="false">
      <c r="A414" s="96" t="n">
        <v>107</v>
      </c>
      <c r="B414" s="102" t="s">
        <v>129</v>
      </c>
      <c r="C414" s="103" t="n">
        <v>43467</v>
      </c>
      <c r="D414" s="87" t="n">
        <v>1</v>
      </c>
      <c r="E414" s="99" t="n">
        <v>1</v>
      </c>
      <c r="F414" s="104" t="s">
        <v>178</v>
      </c>
      <c r="G414" s="112" t="s">
        <v>578</v>
      </c>
    </row>
    <row r="415" s="105" customFormat="true" ht="18" hidden="false" customHeight="true" outlineLevel="0" collapsed="false">
      <c r="A415" s="96" t="n">
        <v>104</v>
      </c>
      <c r="B415" s="102" t="s">
        <v>126</v>
      </c>
      <c r="C415" s="103" t="n">
        <v>43466</v>
      </c>
      <c r="D415" s="87" t="n">
        <v>1</v>
      </c>
      <c r="E415" s="99" t="n">
        <v>1</v>
      </c>
      <c r="F415" s="104" t="s">
        <v>178</v>
      </c>
      <c r="G415" s="112" t="s">
        <v>579</v>
      </c>
    </row>
    <row r="416" s="105" customFormat="true" ht="18" hidden="false" customHeight="true" outlineLevel="0" collapsed="false">
      <c r="A416" s="96" t="n">
        <v>107</v>
      </c>
      <c r="B416" s="102" t="s">
        <v>129</v>
      </c>
      <c r="C416" s="103" t="n">
        <v>43466</v>
      </c>
      <c r="D416" s="87" t="n">
        <v>1</v>
      </c>
      <c r="E416" s="99" t="n">
        <v>1</v>
      </c>
      <c r="F416" s="104" t="s">
        <v>178</v>
      </c>
      <c r="G416" s="112" t="s">
        <v>580</v>
      </c>
    </row>
    <row r="417" s="105" customFormat="true" ht="18" hidden="false" customHeight="true" outlineLevel="0" collapsed="false">
      <c r="A417" s="96" t="n">
        <v>104</v>
      </c>
      <c r="B417" s="102" t="s">
        <v>126</v>
      </c>
      <c r="C417" s="103" t="n">
        <v>43462</v>
      </c>
      <c r="D417" s="87" t="n">
        <v>1</v>
      </c>
      <c r="E417" s="99" t="n">
        <v>1</v>
      </c>
      <c r="F417" s="104" t="s">
        <v>178</v>
      </c>
      <c r="G417" s="112" t="s">
        <v>581</v>
      </c>
    </row>
    <row r="418" s="105" customFormat="true" ht="18" hidden="false" customHeight="true" outlineLevel="0" collapsed="false">
      <c r="A418" s="96" t="n">
        <v>104</v>
      </c>
      <c r="B418" s="102" t="s">
        <v>126</v>
      </c>
      <c r="C418" s="103" t="n">
        <v>43461</v>
      </c>
      <c r="D418" s="87" t="n">
        <v>1</v>
      </c>
      <c r="E418" s="99" t="n">
        <v>1</v>
      </c>
      <c r="F418" s="104" t="s">
        <v>178</v>
      </c>
      <c r="G418" s="112" t="s">
        <v>582</v>
      </c>
    </row>
    <row r="419" s="105" customFormat="true" ht="18" hidden="false" customHeight="true" outlineLevel="0" collapsed="false">
      <c r="A419" s="96" t="n">
        <v>104</v>
      </c>
      <c r="B419" s="102" t="s">
        <v>126</v>
      </c>
      <c r="C419" s="103" t="n">
        <v>43461</v>
      </c>
      <c r="D419" s="87" t="n">
        <v>1</v>
      </c>
      <c r="E419" s="99" t="n">
        <v>1</v>
      </c>
      <c r="F419" s="104" t="s">
        <v>178</v>
      </c>
      <c r="G419" s="112" t="s">
        <v>583</v>
      </c>
    </row>
    <row r="420" s="105" customFormat="true" ht="18" hidden="false" customHeight="true" outlineLevel="0" collapsed="false">
      <c r="A420" s="96" t="n">
        <v>104</v>
      </c>
      <c r="B420" s="102" t="s">
        <v>126</v>
      </c>
      <c r="C420" s="103" t="n">
        <v>43460</v>
      </c>
      <c r="D420" s="87" t="n">
        <v>1</v>
      </c>
      <c r="E420" s="99" t="n">
        <v>1</v>
      </c>
      <c r="F420" s="104" t="s">
        <v>178</v>
      </c>
      <c r="G420" s="112" t="s">
        <v>584</v>
      </c>
    </row>
    <row r="421" s="105" customFormat="true" ht="18" hidden="false" customHeight="true" outlineLevel="0" collapsed="false">
      <c r="A421" s="96" t="n">
        <v>104</v>
      </c>
      <c r="B421" s="102" t="s">
        <v>126</v>
      </c>
      <c r="C421" s="103" t="n">
        <v>43458</v>
      </c>
      <c r="D421" s="87" t="n">
        <v>1</v>
      </c>
      <c r="E421" s="99" t="n">
        <v>1</v>
      </c>
      <c r="F421" s="104" t="s">
        <v>178</v>
      </c>
      <c r="G421" s="112" t="s">
        <v>585</v>
      </c>
    </row>
    <row r="422" s="105" customFormat="true" ht="18" hidden="false" customHeight="true" outlineLevel="0" collapsed="false">
      <c r="A422" s="96" t="n">
        <v>104</v>
      </c>
      <c r="B422" s="102" t="s">
        <v>126</v>
      </c>
      <c r="C422" s="103" t="n">
        <v>43457</v>
      </c>
      <c r="D422" s="87" t="n">
        <v>2</v>
      </c>
      <c r="E422" s="99" t="n">
        <v>2</v>
      </c>
      <c r="F422" s="104" t="s">
        <v>178</v>
      </c>
      <c r="G422" s="112" t="s">
        <v>586</v>
      </c>
    </row>
    <row r="423" s="105" customFormat="true" ht="18" hidden="false" customHeight="true" outlineLevel="0" collapsed="false">
      <c r="A423" s="96" t="n">
        <v>115</v>
      </c>
      <c r="B423" s="102" t="s">
        <v>137</v>
      </c>
      <c r="C423" s="103" t="n">
        <v>43455</v>
      </c>
      <c r="D423" s="87" t="n">
        <v>1</v>
      </c>
      <c r="E423" s="99" t="n">
        <v>1</v>
      </c>
      <c r="F423" s="104" t="s">
        <v>178</v>
      </c>
      <c r="G423" s="112" t="s">
        <v>587</v>
      </c>
    </row>
    <row r="424" s="105" customFormat="true" ht="18" hidden="false" customHeight="true" outlineLevel="0" collapsed="false">
      <c r="A424" s="96" t="n">
        <v>132</v>
      </c>
      <c r="B424" s="102" t="s">
        <v>154</v>
      </c>
      <c r="C424" s="103" t="n">
        <v>43455</v>
      </c>
      <c r="D424" s="87" t="n">
        <v>1</v>
      </c>
      <c r="E424" s="99" t="n">
        <v>1</v>
      </c>
      <c r="F424" s="104" t="s">
        <v>178</v>
      </c>
      <c r="G424" s="112" t="s">
        <v>588</v>
      </c>
    </row>
    <row r="425" s="105" customFormat="true" ht="18" hidden="false" customHeight="true" outlineLevel="0" collapsed="false">
      <c r="A425" s="96" t="n">
        <v>104</v>
      </c>
      <c r="B425" s="102" t="s">
        <v>126</v>
      </c>
      <c r="C425" s="103" t="s">
        <v>589</v>
      </c>
      <c r="D425" s="87" t="n">
        <v>1</v>
      </c>
      <c r="E425" s="99" t="n">
        <v>1</v>
      </c>
      <c r="F425" s="104" t="s">
        <v>178</v>
      </c>
      <c r="G425" s="112" t="s">
        <v>590</v>
      </c>
    </row>
    <row r="426" s="105" customFormat="true" ht="18" hidden="false" customHeight="true" outlineLevel="0" collapsed="false">
      <c r="A426" s="96" t="n">
        <v>104</v>
      </c>
      <c r="B426" s="102" t="s">
        <v>126</v>
      </c>
      <c r="C426" s="103" t="n">
        <v>43453</v>
      </c>
      <c r="D426" s="87" t="n">
        <v>1</v>
      </c>
      <c r="E426" s="99" t="n">
        <v>1</v>
      </c>
      <c r="F426" s="104" t="s">
        <v>178</v>
      </c>
      <c r="G426" s="112" t="s">
        <v>591</v>
      </c>
    </row>
    <row r="427" s="105" customFormat="true" ht="18" hidden="false" customHeight="true" outlineLevel="0" collapsed="false">
      <c r="A427" s="96" t="n">
        <v>104</v>
      </c>
      <c r="B427" s="102" t="s">
        <v>126</v>
      </c>
      <c r="C427" s="103" t="n">
        <v>43453</v>
      </c>
      <c r="D427" s="87" t="n">
        <v>1</v>
      </c>
      <c r="E427" s="99" t="n">
        <v>1</v>
      </c>
      <c r="F427" s="104" t="s">
        <v>178</v>
      </c>
      <c r="G427" s="112" t="s">
        <v>592</v>
      </c>
    </row>
    <row r="428" s="105" customFormat="true" ht="18" hidden="false" customHeight="true" outlineLevel="0" collapsed="false">
      <c r="A428" s="96" t="n">
        <v>116</v>
      </c>
      <c r="B428" s="102" t="s">
        <v>138</v>
      </c>
      <c r="C428" s="103" t="n">
        <v>43453</v>
      </c>
      <c r="D428" s="87" t="n">
        <v>1</v>
      </c>
      <c r="E428" s="99" t="n">
        <v>1</v>
      </c>
      <c r="F428" s="104" t="s">
        <v>178</v>
      </c>
      <c r="G428" s="112" t="s">
        <v>593</v>
      </c>
    </row>
    <row r="429" s="105" customFormat="true" ht="18" hidden="false" customHeight="true" outlineLevel="0" collapsed="false">
      <c r="A429" s="96" t="n">
        <v>104</v>
      </c>
      <c r="B429" s="102" t="s">
        <v>126</v>
      </c>
      <c r="C429" s="103" t="n">
        <v>43449</v>
      </c>
      <c r="D429" s="87" t="n">
        <v>2</v>
      </c>
      <c r="E429" s="99" t="n">
        <v>2</v>
      </c>
      <c r="F429" s="104" t="s">
        <v>178</v>
      </c>
      <c r="G429" s="112" t="s">
        <v>594</v>
      </c>
    </row>
    <row r="430" s="105" customFormat="true" ht="18" hidden="false" customHeight="true" outlineLevel="0" collapsed="false">
      <c r="A430" s="96" t="n">
        <v>104</v>
      </c>
      <c r="B430" s="102" t="s">
        <v>126</v>
      </c>
      <c r="C430" s="103" t="n">
        <v>14</v>
      </c>
      <c r="D430" s="87" t="n">
        <v>1</v>
      </c>
      <c r="E430" s="99" t="n">
        <v>1</v>
      </c>
      <c r="F430" s="104" t="s">
        <v>178</v>
      </c>
      <c r="G430" s="112" t="s">
        <v>595</v>
      </c>
    </row>
    <row r="431" s="105" customFormat="true" ht="18" hidden="false" customHeight="true" outlineLevel="0" collapsed="false">
      <c r="A431" s="96" t="n">
        <v>129</v>
      </c>
      <c r="B431" s="102" t="s">
        <v>151</v>
      </c>
      <c r="C431" s="103" t="n">
        <v>43447</v>
      </c>
      <c r="D431" s="87" t="n">
        <v>1</v>
      </c>
      <c r="E431" s="99" t="n">
        <v>1</v>
      </c>
      <c r="F431" s="104" t="s">
        <v>178</v>
      </c>
      <c r="G431" s="112" t="s">
        <v>596</v>
      </c>
    </row>
    <row r="432" s="105" customFormat="true" ht="18" hidden="false" customHeight="true" outlineLevel="0" collapsed="false">
      <c r="A432" s="96" t="n">
        <v>104</v>
      </c>
      <c r="B432" s="102" t="s">
        <v>126</v>
      </c>
      <c r="C432" s="103" t="n">
        <v>43447</v>
      </c>
      <c r="D432" s="87" t="n">
        <v>1</v>
      </c>
      <c r="E432" s="99" t="n">
        <v>1</v>
      </c>
      <c r="F432" s="104" t="s">
        <v>178</v>
      </c>
      <c r="G432" s="112" t="s">
        <v>597</v>
      </c>
    </row>
    <row r="433" s="105" customFormat="true" ht="18" hidden="false" customHeight="true" outlineLevel="0" collapsed="false">
      <c r="A433" s="96" t="n">
        <v>104</v>
      </c>
      <c r="B433" s="102" t="s">
        <v>126</v>
      </c>
      <c r="C433" s="103" t="n">
        <v>43447</v>
      </c>
      <c r="D433" s="87" t="n">
        <v>1</v>
      </c>
      <c r="E433" s="99" t="n">
        <v>1</v>
      </c>
      <c r="F433" s="104" t="s">
        <v>178</v>
      </c>
      <c r="G433" s="112" t="s">
        <v>598</v>
      </c>
    </row>
    <row r="434" s="105" customFormat="true" ht="18" hidden="false" customHeight="true" outlineLevel="0" collapsed="false">
      <c r="A434" s="96" t="n">
        <v>104</v>
      </c>
      <c r="B434" s="102" t="s">
        <v>126</v>
      </c>
      <c r="C434" s="103" t="n">
        <v>43446</v>
      </c>
      <c r="D434" s="87" t="n">
        <v>1</v>
      </c>
      <c r="E434" s="99" t="n">
        <v>1</v>
      </c>
      <c r="F434" s="104" t="s">
        <v>178</v>
      </c>
      <c r="G434" s="112" t="s">
        <v>599</v>
      </c>
    </row>
    <row r="435" s="105" customFormat="true" ht="18" hidden="false" customHeight="true" outlineLevel="0" collapsed="false">
      <c r="A435" s="96" t="n">
        <v>104</v>
      </c>
      <c r="B435" s="102" t="s">
        <v>126</v>
      </c>
      <c r="C435" s="103" t="n">
        <v>43446</v>
      </c>
      <c r="D435" s="87" t="n">
        <v>1</v>
      </c>
      <c r="E435" s="99" t="n">
        <v>1</v>
      </c>
      <c r="F435" s="104" t="s">
        <v>178</v>
      </c>
      <c r="G435" s="112" t="s">
        <v>600</v>
      </c>
    </row>
    <row r="436" s="105" customFormat="true" ht="18" hidden="false" customHeight="true" outlineLevel="0" collapsed="false">
      <c r="A436" s="96" t="n">
        <v>104</v>
      </c>
      <c r="B436" s="102" t="s">
        <v>126</v>
      </c>
      <c r="C436" s="103" t="n">
        <v>43445</v>
      </c>
      <c r="D436" s="87" t="n">
        <v>1</v>
      </c>
      <c r="E436" s="99" t="n">
        <v>1</v>
      </c>
      <c r="F436" s="104" t="s">
        <v>178</v>
      </c>
      <c r="G436" s="112" t="s">
        <v>601</v>
      </c>
    </row>
    <row r="437" s="105" customFormat="true" ht="18" hidden="false" customHeight="true" outlineLevel="0" collapsed="false">
      <c r="A437" s="96" t="n">
        <v>104</v>
      </c>
      <c r="B437" s="102" t="s">
        <v>126</v>
      </c>
      <c r="C437" s="103" t="n">
        <v>43444</v>
      </c>
      <c r="D437" s="87" t="n">
        <v>1</v>
      </c>
      <c r="E437" s="99" t="n">
        <v>1</v>
      </c>
      <c r="F437" s="104" t="s">
        <v>178</v>
      </c>
      <c r="G437" s="112" t="s">
        <v>602</v>
      </c>
    </row>
    <row r="438" s="105" customFormat="true" ht="18" hidden="false" customHeight="true" outlineLevel="0" collapsed="false">
      <c r="A438" s="96" t="n">
        <v>104</v>
      </c>
      <c r="B438" s="102" t="s">
        <v>126</v>
      </c>
      <c r="C438" s="103" t="n">
        <v>43444</v>
      </c>
      <c r="D438" s="87" t="n">
        <v>1</v>
      </c>
      <c r="E438" s="99" t="n">
        <v>1</v>
      </c>
      <c r="F438" s="104" t="s">
        <v>178</v>
      </c>
      <c r="G438" s="112" t="s">
        <v>603</v>
      </c>
    </row>
    <row r="439" s="105" customFormat="true" ht="18" hidden="false" customHeight="true" outlineLevel="0" collapsed="false">
      <c r="A439" s="96" t="n">
        <v>114</v>
      </c>
      <c r="B439" s="102" t="s">
        <v>136</v>
      </c>
      <c r="C439" s="103" t="n">
        <v>43443</v>
      </c>
      <c r="D439" s="87" t="n">
        <v>1</v>
      </c>
      <c r="E439" s="99" t="n">
        <v>1</v>
      </c>
      <c r="F439" s="104" t="s">
        <v>178</v>
      </c>
      <c r="G439" s="112" t="s">
        <v>604</v>
      </c>
    </row>
    <row r="440" s="105" customFormat="true" ht="18" hidden="false" customHeight="true" outlineLevel="0" collapsed="false">
      <c r="A440" s="96" t="n">
        <v>104</v>
      </c>
      <c r="B440" s="102" t="s">
        <v>126</v>
      </c>
      <c r="C440" s="103" t="n">
        <v>43443</v>
      </c>
      <c r="D440" s="87" t="n">
        <v>2</v>
      </c>
      <c r="E440" s="99" t="n">
        <v>2</v>
      </c>
      <c r="F440" s="104" t="s">
        <v>178</v>
      </c>
      <c r="G440" s="112" t="s">
        <v>605</v>
      </c>
    </row>
    <row r="441" s="105" customFormat="true" ht="18" hidden="false" customHeight="true" outlineLevel="0" collapsed="false">
      <c r="A441" s="96" t="n">
        <v>104</v>
      </c>
      <c r="B441" s="102" t="s">
        <v>126</v>
      </c>
      <c r="C441" s="103" t="n">
        <v>43441</v>
      </c>
      <c r="D441" s="87" t="n">
        <v>1</v>
      </c>
      <c r="E441" s="99" t="n">
        <v>1</v>
      </c>
      <c r="F441" s="104" t="s">
        <v>178</v>
      </c>
      <c r="G441" s="112" t="s">
        <v>606</v>
      </c>
    </row>
    <row r="442" s="105" customFormat="true" ht="18" hidden="false" customHeight="true" outlineLevel="0" collapsed="false">
      <c r="A442" s="96" t="n">
        <v>104</v>
      </c>
      <c r="B442" s="102" t="s">
        <v>126</v>
      </c>
      <c r="C442" s="103" t="n">
        <v>43441</v>
      </c>
      <c r="D442" s="87" t="n">
        <v>1</v>
      </c>
      <c r="E442" s="99" t="n">
        <v>1</v>
      </c>
      <c r="F442" s="104" t="s">
        <v>178</v>
      </c>
      <c r="G442" s="112" t="s">
        <v>607</v>
      </c>
    </row>
    <row r="443" s="105" customFormat="true" ht="18" hidden="false" customHeight="true" outlineLevel="0" collapsed="false">
      <c r="A443" s="96" t="n">
        <v>104</v>
      </c>
      <c r="B443" s="102" t="s">
        <v>126</v>
      </c>
      <c r="C443" s="103" t="n">
        <v>43440</v>
      </c>
      <c r="D443" s="87" t="n">
        <v>1</v>
      </c>
      <c r="E443" s="99" t="n">
        <v>1</v>
      </c>
      <c r="F443" s="104" t="s">
        <v>178</v>
      </c>
      <c r="G443" s="112" t="s">
        <v>608</v>
      </c>
    </row>
    <row r="444" s="105" customFormat="true" ht="18" hidden="false" customHeight="true" outlineLevel="0" collapsed="false">
      <c r="A444" s="96" t="n">
        <v>104</v>
      </c>
      <c r="B444" s="102" t="s">
        <v>126</v>
      </c>
      <c r="C444" s="103" t="n">
        <v>43440</v>
      </c>
      <c r="D444" s="87" t="n">
        <v>1</v>
      </c>
      <c r="E444" s="99" t="n">
        <v>1</v>
      </c>
      <c r="F444" s="104" t="s">
        <v>178</v>
      </c>
      <c r="G444" s="112" t="s">
        <v>609</v>
      </c>
    </row>
    <row r="445" s="105" customFormat="true" ht="18" hidden="false" customHeight="true" outlineLevel="0" collapsed="false">
      <c r="A445" s="96" t="n">
        <v>116</v>
      </c>
      <c r="B445" s="102" t="s">
        <v>138</v>
      </c>
      <c r="C445" s="103" t="n">
        <v>43440</v>
      </c>
      <c r="D445" s="87" t="n">
        <v>1</v>
      </c>
      <c r="E445" s="99" t="n">
        <v>1</v>
      </c>
      <c r="F445" s="104" t="s">
        <v>178</v>
      </c>
      <c r="G445" s="112" t="s">
        <v>610</v>
      </c>
    </row>
    <row r="446" s="105" customFormat="true" ht="18" hidden="false" customHeight="true" outlineLevel="0" collapsed="false">
      <c r="A446" s="96" t="n">
        <v>104</v>
      </c>
      <c r="B446" s="102" t="s">
        <v>126</v>
      </c>
      <c r="C446" s="103" t="n">
        <v>43410</v>
      </c>
      <c r="D446" s="87" t="n">
        <v>1</v>
      </c>
      <c r="E446" s="99" t="n">
        <v>1</v>
      </c>
      <c r="F446" s="104" t="s">
        <v>178</v>
      </c>
      <c r="G446" s="112" t="s">
        <v>611</v>
      </c>
    </row>
    <row r="447" s="105" customFormat="true" ht="18" hidden="false" customHeight="true" outlineLevel="0" collapsed="false">
      <c r="A447" s="96" t="n">
        <v>104</v>
      </c>
      <c r="B447" s="102" t="s">
        <v>126</v>
      </c>
      <c r="C447" s="103" t="n">
        <v>43439</v>
      </c>
      <c r="D447" s="87" t="n">
        <v>1</v>
      </c>
      <c r="E447" s="99" t="n">
        <v>1</v>
      </c>
      <c r="F447" s="104" t="s">
        <v>178</v>
      </c>
      <c r="G447" s="112" t="s">
        <v>612</v>
      </c>
    </row>
    <row r="448" s="105" customFormat="true" ht="18" hidden="false" customHeight="true" outlineLevel="0" collapsed="false">
      <c r="A448" s="96" t="n">
        <v>104</v>
      </c>
      <c r="B448" s="102" t="s">
        <v>126</v>
      </c>
      <c r="C448" s="103" t="n">
        <v>43435</v>
      </c>
      <c r="D448" s="87" t="n">
        <v>2</v>
      </c>
      <c r="E448" s="99" t="n">
        <v>1</v>
      </c>
      <c r="F448" s="104" t="s">
        <v>178</v>
      </c>
      <c r="G448" s="112" t="s">
        <v>613</v>
      </c>
    </row>
    <row r="449" s="105" customFormat="true" ht="18" hidden="false" customHeight="true" outlineLevel="0" collapsed="false">
      <c r="A449" s="96" t="n">
        <v>104</v>
      </c>
      <c r="B449" s="102" t="s">
        <v>126</v>
      </c>
      <c r="C449" s="103" t="n">
        <v>43435</v>
      </c>
      <c r="D449" s="87" t="n">
        <v>1</v>
      </c>
      <c r="E449" s="99" t="n">
        <v>1</v>
      </c>
      <c r="F449" s="104" t="s">
        <v>178</v>
      </c>
      <c r="G449" s="112" t="s">
        <v>614</v>
      </c>
    </row>
    <row r="450" s="105" customFormat="true" ht="18" hidden="false" customHeight="true" outlineLevel="0" collapsed="false">
      <c r="A450" s="96" t="n">
        <v>104</v>
      </c>
      <c r="B450" s="102" t="s">
        <v>126</v>
      </c>
      <c r="C450" s="103" t="n">
        <v>43437</v>
      </c>
      <c r="D450" s="87" t="n">
        <v>1</v>
      </c>
      <c r="E450" s="99" t="n">
        <v>1</v>
      </c>
      <c r="F450" s="104" t="s">
        <v>178</v>
      </c>
      <c r="G450" s="112" t="s">
        <v>615</v>
      </c>
    </row>
    <row r="451" s="105" customFormat="true" ht="18" hidden="false" customHeight="true" outlineLevel="0" collapsed="false">
      <c r="A451" s="96" t="n">
        <v>104</v>
      </c>
      <c r="B451" s="102" t="s">
        <v>126</v>
      </c>
      <c r="C451" s="103" t="n">
        <v>43437</v>
      </c>
      <c r="D451" s="87" t="n">
        <v>1</v>
      </c>
      <c r="E451" s="99" t="n">
        <v>1</v>
      </c>
      <c r="F451" s="104" t="s">
        <v>178</v>
      </c>
      <c r="G451" s="112" t="s">
        <v>616</v>
      </c>
    </row>
    <row r="452" s="105" customFormat="true" ht="18" hidden="false" customHeight="true" outlineLevel="0" collapsed="false">
      <c r="A452" s="96" t="n">
        <v>104</v>
      </c>
      <c r="B452" s="102" t="s">
        <v>126</v>
      </c>
      <c r="C452" s="103" t="n">
        <v>43437</v>
      </c>
      <c r="D452" s="87" t="n">
        <v>3</v>
      </c>
      <c r="E452" s="99" t="n">
        <v>1</v>
      </c>
      <c r="F452" s="104" t="s">
        <v>178</v>
      </c>
      <c r="G452" s="112" t="s">
        <v>617</v>
      </c>
    </row>
    <row r="453" s="105" customFormat="true" ht="18" hidden="false" customHeight="true" outlineLevel="0" collapsed="false">
      <c r="A453" s="96" t="n">
        <v>104</v>
      </c>
      <c r="B453" s="102" t="s">
        <v>126</v>
      </c>
      <c r="C453" s="103" t="n">
        <v>43434</v>
      </c>
      <c r="D453" s="87" t="n">
        <v>2</v>
      </c>
      <c r="E453" s="99" t="n">
        <v>1</v>
      </c>
      <c r="F453" s="104" t="s">
        <v>178</v>
      </c>
      <c r="G453" s="112" t="s">
        <v>618</v>
      </c>
    </row>
    <row r="454" s="105" customFormat="true" ht="18" hidden="false" customHeight="true" outlineLevel="0" collapsed="false">
      <c r="A454" s="96" t="n">
        <v>104</v>
      </c>
      <c r="B454" s="102" t="s">
        <v>126</v>
      </c>
      <c r="C454" s="103" t="n">
        <v>43434</v>
      </c>
      <c r="D454" s="87" t="n">
        <v>1</v>
      </c>
      <c r="E454" s="99" t="n">
        <v>1</v>
      </c>
      <c r="F454" s="104" t="s">
        <v>178</v>
      </c>
      <c r="G454" s="112" t="s">
        <v>619</v>
      </c>
    </row>
    <row r="455" s="105" customFormat="true" ht="18" hidden="false" customHeight="true" outlineLevel="0" collapsed="false">
      <c r="A455" s="96" t="n">
        <v>130</v>
      </c>
      <c r="B455" s="102" t="s">
        <v>152</v>
      </c>
      <c r="C455" s="103" t="n">
        <v>43434</v>
      </c>
      <c r="D455" s="87" t="n">
        <v>1</v>
      </c>
      <c r="E455" s="99" t="n">
        <v>1</v>
      </c>
      <c r="F455" s="104" t="s">
        <v>178</v>
      </c>
      <c r="G455" s="112" t="s">
        <v>620</v>
      </c>
    </row>
    <row r="456" s="105" customFormat="true" ht="18" hidden="false" customHeight="true" outlineLevel="0" collapsed="false">
      <c r="A456" s="96" t="n">
        <v>115</v>
      </c>
      <c r="B456" s="102" t="s">
        <v>137</v>
      </c>
      <c r="C456" s="103" t="n">
        <v>43434</v>
      </c>
      <c r="D456" s="87" t="n">
        <v>1</v>
      </c>
      <c r="E456" s="99" t="n">
        <v>1</v>
      </c>
      <c r="F456" s="104" t="s">
        <v>178</v>
      </c>
      <c r="G456" s="112" t="s">
        <v>621</v>
      </c>
    </row>
    <row r="457" s="105" customFormat="true" ht="18" hidden="false" customHeight="true" outlineLevel="0" collapsed="false">
      <c r="A457" s="96" t="n">
        <v>104</v>
      </c>
      <c r="B457" s="102" t="s">
        <v>126</v>
      </c>
      <c r="C457" s="103" t="n">
        <v>43434</v>
      </c>
      <c r="D457" s="87" t="n">
        <v>1</v>
      </c>
      <c r="E457" s="99" t="n">
        <v>1</v>
      </c>
      <c r="F457" s="104" t="s">
        <v>178</v>
      </c>
      <c r="G457" s="112" t="s">
        <v>622</v>
      </c>
    </row>
    <row r="458" s="105" customFormat="true" ht="18" hidden="false" customHeight="true" outlineLevel="0" collapsed="false">
      <c r="A458" s="96" t="n">
        <v>105</v>
      </c>
      <c r="B458" s="102" t="s">
        <v>127</v>
      </c>
      <c r="C458" s="103" t="n">
        <v>43433</v>
      </c>
      <c r="D458" s="87" t="n">
        <v>1</v>
      </c>
      <c r="E458" s="99" t="n">
        <v>1</v>
      </c>
      <c r="F458" s="104" t="s">
        <v>178</v>
      </c>
      <c r="G458" s="112" t="s">
        <v>623</v>
      </c>
    </row>
    <row r="459" s="105" customFormat="true" ht="18" hidden="false" customHeight="true" outlineLevel="0" collapsed="false">
      <c r="A459" s="96" t="n">
        <v>104</v>
      </c>
      <c r="B459" s="102" t="s">
        <v>126</v>
      </c>
      <c r="C459" s="103" t="n">
        <v>43433</v>
      </c>
      <c r="D459" s="87" t="n">
        <v>1</v>
      </c>
      <c r="E459" s="99" t="n">
        <v>1</v>
      </c>
      <c r="F459" s="104" t="s">
        <v>178</v>
      </c>
      <c r="G459" s="112" t="s">
        <v>624</v>
      </c>
    </row>
    <row r="460" s="105" customFormat="true" ht="18" hidden="false" customHeight="true" outlineLevel="0" collapsed="false">
      <c r="A460" s="96" t="n">
        <v>104</v>
      </c>
      <c r="B460" s="102" t="s">
        <v>126</v>
      </c>
      <c r="C460" s="103" t="n">
        <v>43433</v>
      </c>
      <c r="D460" s="87" t="n">
        <v>1</v>
      </c>
      <c r="E460" s="99" t="n">
        <v>1</v>
      </c>
      <c r="F460" s="104" t="s">
        <v>178</v>
      </c>
      <c r="G460" s="112" t="s">
        <v>625</v>
      </c>
    </row>
    <row r="461" s="105" customFormat="true" ht="18" hidden="false" customHeight="true" outlineLevel="0" collapsed="false">
      <c r="A461" s="96" t="n">
        <v>104</v>
      </c>
      <c r="B461" s="102" t="s">
        <v>126</v>
      </c>
      <c r="C461" s="103" t="n">
        <v>43432</v>
      </c>
      <c r="D461" s="87" t="n">
        <v>1</v>
      </c>
      <c r="E461" s="99" t="n">
        <v>1</v>
      </c>
      <c r="F461" s="104" t="s">
        <v>178</v>
      </c>
      <c r="G461" s="112" t="s">
        <v>626</v>
      </c>
    </row>
    <row r="462" s="105" customFormat="true" ht="18" hidden="false" customHeight="true" outlineLevel="0" collapsed="false">
      <c r="A462" s="96" t="n">
        <v>108</v>
      </c>
      <c r="B462" s="102" t="s">
        <v>130</v>
      </c>
      <c r="C462" s="103" t="n">
        <v>43431</v>
      </c>
      <c r="D462" s="87" t="n">
        <v>1</v>
      </c>
      <c r="E462" s="99" t="n">
        <v>1</v>
      </c>
      <c r="F462" s="104" t="s">
        <v>178</v>
      </c>
      <c r="G462" s="112" t="s">
        <v>627</v>
      </c>
    </row>
    <row r="463" s="105" customFormat="true" ht="18" hidden="false" customHeight="true" outlineLevel="0" collapsed="false">
      <c r="A463" s="96" t="n">
        <v>104</v>
      </c>
      <c r="B463" s="102" t="s">
        <v>126</v>
      </c>
      <c r="C463" s="103" t="n">
        <v>43431</v>
      </c>
      <c r="D463" s="87" t="n">
        <v>1</v>
      </c>
      <c r="E463" s="99" t="n">
        <v>1</v>
      </c>
      <c r="F463" s="104" t="s">
        <v>178</v>
      </c>
      <c r="G463" s="112" t="s">
        <v>628</v>
      </c>
    </row>
    <row r="464" s="105" customFormat="true" ht="18" hidden="false" customHeight="true" outlineLevel="0" collapsed="false">
      <c r="A464" s="96" t="n">
        <v>104</v>
      </c>
      <c r="B464" s="102" t="s">
        <v>126</v>
      </c>
      <c r="C464" s="103" t="n">
        <v>43419</v>
      </c>
      <c r="D464" s="87" t="n">
        <v>1</v>
      </c>
      <c r="E464" s="99" t="n">
        <v>1</v>
      </c>
      <c r="F464" s="104" t="s">
        <v>178</v>
      </c>
      <c r="G464" s="112" t="s">
        <v>629</v>
      </c>
    </row>
    <row r="465" s="105" customFormat="true" ht="18" hidden="false" customHeight="true" outlineLevel="0" collapsed="false">
      <c r="A465" s="96" t="n">
        <v>106</v>
      </c>
      <c r="B465" s="102" t="s">
        <v>128</v>
      </c>
      <c r="C465" s="103" t="n">
        <v>43431</v>
      </c>
      <c r="D465" s="87" t="n">
        <v>1</v>
      </c>
      <c r="E465" s="99" t="n">
        <v>1</v>
      </c>
      <c r="F465" s="104" t="s">
        <v>178</v>
      </c>
      <c r="G465" s="112" t="s">
        <v>630</v>
      </c>
    </row>
    <row r="466" s="105" customFormat="true" ht="18" hidden="false" customHeight="true" outlineLevel="0" collapsed="false">
      <c r="A466" s="96" t="n">
        <v>104</v>
      </c>
      <c r="B466" s="102" t="s">
        <v>126</v>
      </c>
      <c r="C466" s="103" t="n">
        <v>43430</v>
      </c>
      <c r="D466" s="87" t="n">
        <v>1</v>
      </c>
      <c r="E466" s="99" t="n">
        <v>1</v>
      </c>
      <c r="F466" s="104" t="s">
        <v>178</v>
      </c>
      <c r="G466" s="112" t="s">
        <v>631</v>
      </c>
    </row>
    <row r="467" s="105" customFormat="true" ht="18" hidden="false" customHeight="true" outlineLevel="0" collapsed="false">
      <c r="A467" s="96" t="n">
        <v>104</v>
      </c>
      <c r="B467" s="102" t="s">
        <v>126</v>
      </c>
      <c r="C467" s="103" t="n">
        <v>43430</v>
      </c>
      <c r="D467" s="87" t="n">
        <v>1</v>
      </c>
      <c r="E467" s="99" t="n">
        <v>1</v>
      </c>
      <c r="F467" s="104" t="s">
        <v>178</v>
      </c>
      <c r="G467" s="112" t="s">
        <v>632</v>
      </c>
    </row>
    <row r="468" s="105" customFormat="true" ht="18" hidden="false" customHeight="true" outlineLevel="0" collapsed="false">
      <c r="A468" s="96" t="n">
        <v>104</v>
      </c>
      <c r="B468" s="102" t="s">
        <v>126</v>
      </c>
      <c r="C468" s="103" t="n">
        <v>43429</v>
      </c>
      <c r="D468" s="87" t="n">
        <v>5</v>
      </c>
      <c r="E468" s="99" t="n">
        <v>1</v>
      </c>
      <c r="F468" s="104" t="s">
        <v>178</v>
      </c>
      <c r="G468" s="112" t="s">
        <v>633</v>
      </c>
    </row>
    <row r="469" s="105" customFormat="true" ht="18" hidden="false" customHeight="true" outlineLevel="0" collapsed="false">
      <c r="A469" s="96" t="n">
        <v>104</v>
      </c>
      <c r="B469" s="102" t="s">
        <v>126</v>
      </c>
      <c r="C469" s="103" t="n">
        <v>43430</v>
      </c>
      <c r="D469" s="87" t="n">
        <v>1</v>
      </c>
      <c r="E469" s="99" t="n">
        <v>1</v>
      </c>
      <c r="F469" s="104" t="s">
        <v>178</v>
      </c>
      <c r="G469" s="112" t="s">
        <v>634</v>
      </c>
    </row>
    <row r="470" s="105" customFormat="true" ht="18" hidden="false" customHeight="true" outlineLevel="0" collapsed="false">
      <c r="A470" s="96" t="n">
        <v>113</v>
      </c>
      <c r="B470" s="102" t="s">
        <v>135</v>
      </c>
      <c r="C470" s="103" t="n">
        <v>43428</v>
      </c>
      <c r="D470" s="87" t="n">
        <v>1</v>
      </c>
      <c r="E470" s="99" t="n">
        <v>1</v>
      </c>
      <c r="F470" s="104" t="s">
        <v>178</v>
      </c>
      <c r="G470" s="112" t="s">
        <v>635</v>
      </c>
    </row>
    <row r="471" s="105" customFormat="true" ht="18" hidden="false" customHeight="true" outlineLevel="0" collapsed="false">
      <c r="A471" s="96" t="n">
        <v>116</v>
      </c>
      <c r="B471" s="102" t="s">
        <v>138</v>
      </c>
      <c r="C471" s="103" t="n">
        <v>43427</v>
      </c>
      <c r="D471" s="87" t="n">
        <v>1</v>
      </c>
      <c r="E471" s="99" t="n">
        <v>1</v>
      </c>
      <c r="F471" s="104" t="s">
        <v>178</v>
      </c>
      <c r="G471" s="112" t="s">
        <v>636</v>
      </c>
    </row>
    <row r="472" s="105" customFormat="true" ht="18" hidden="false" customHeight="true" outlineLevel="0" collapsed="false">
      <c r="A472" s="96" t="n">
        <v>113</v>
      </c>
      <c r="B472" s="102" t="s">
        <v>135</v>
      </c>
      <c r="C472" s="103" t="n">
        <v>43427</v>
      </c>
      <c r="D472" s="87" t="n">
        <v>1</v>
      </c>
      <c r="E472" s="99" t="n">
        <v>1</v>
      </c>
      <c r="F472" s="104" t="s">
        <v>178</v>
      </c>
      <c r="G472" s="112" t="s">
        <v>636</v>
      </c>
    </row>
    <row r="473" s="105" customFormat="true" ht="18" hidden="false" customHeight="true" outlineLevel="0" collapsed="false">
      <c r="A473" s="96" t="n">
        <v>104</v>
      </c>
      <c r="B473" s="102" t="s">
        <v>126</v>
      </c>
      <c r="C473" s="103" t="n">
        <v>43427</v>
      </c>
      <c r="D473" s="87" t="n">
        <v>1</v>
      </c>
      <c r="E473" s="99" t="n">
        <v>1</v>
      </c>
      <c r="F473" s="104" t="s">
        <v>178</v>
      </c>
      <c r="G473" s="112" t="s">
        <v>637</v>
      </c>
    </row>
    <row r="474" s="105" customFormat="true" ht="18" hidden="false" customHeight="true" outlineLevel="0" collapsed="false">
      <c r="A474" s="96" t="n">
        <v>114</v>
      </c>
      <c r="B474" s="102" t="s">
        <v>136</v>
      </c>
      <c r="C474" s="103" t="n">
        <v>43427</v>
      </c>
      <c r="D474" s="87" t="n">
        <v>1</v>
      </c>
      <c r="E474" s="99" t="n">
        <v>1</v>
      </c>
      <c r="F474" s="104" t="s">
        <v>178</v>
      </c>
      <c r="G474" s="112" t="s">
        <v>638</v>
      </c>
    </row>
    <row r="475" s="105" customFormat="true" ht="18" hidden="false" customHeight="true" outlineLevel="0" collapsed="false">
      <c r="A475" s="96" t="n">
        <v>116</v>
      </c>
      <c r="B475" s="102" t="s">
        <v>138</v>
      </c>
      <c r="C475" s="103" t="n">
        <v>43426</v>
      </c>
      <c r="D475" s="87" t="n">
        <v>1</v>
      </c>
      <c r="E475" s="99" t="n">
        <v>1</v>
      </c>
      <c r="F475" s="104" t="s">
        <v>178</v>
      </c>
      <c r="G475" s="112" t="s">
        <v>639</v>
      </c>
    </row>
    <row r="476" s="105" customFormat="true" ht="18" hidden="false" customHeight="true" outlineLevel="0" collapsed="false">
      <c r="A476" s="96" t="n">
        <v>104</v>
      </c>
      <c r="B476" s="102" t="s">
        <v>126</v>
      </c>
      <c r="C476" s="103" t="n">
        <v>43426</v>
      </c>
      <c r="D476" s="87" t="n">
        <v>1</v>
      </c>
      <c r="E476" s="99" t="n">
        <v>1</v>
      </c>
      <c r="F476" s="104" t="s">
        <v>178</v>
      </c>
      <c r="G476" s="112" t="s">
        <v>640</v>
      </c>
    </row>
    <row r="477" s="105" customFormat="true" ht="18" hidden="false" customHeight="true" outlineLevel="0" collapsed="false">
      <c r="A477" s="96" t="n">
        <v>107</v>
      </c>
      <c r="B477" s="102" t="s">
        <v>129</v>
      </c>
      <c r="C477" s="103" t="n">
        <v>43426</v>
      </c>
      <c r="D477" s="87" t="n">
        <v>1</v>
      </c>
      <c r="E477" s="99" t="n">
        <v>1</v>
      </c>
      <c r="F477" s="104" t="s">
        <v>178</v>
      </c>
      <c r="G477" s="112" t="s">
        <v>641</v>
      </c>
    </row>
    <row r="478" s="105" customFormat="true" ht="18" hidden="false" customHeight="true" outlineLevel="0" collapsed="false">
      <c r="A478" s="96" t="n">
        <v>104</v>
      </c>
      <c r="B478" s="102" t="s">
        <v>126</v>
      </c>
      <c r="C478" s="103" t="n">
        <v>43426</v>
      </c>
      <c r="D478" s="87" t="n">
        <v>1</v>
      </c>
      <c r="E478" s="99" t="n">
        <v>1</v>
      </c>
      <c r="F478" s="104" t="s">
        <v>178</v>
      </c>
      <c r="G478" s="112" t="s">
        <v>642</v>
      </c>
    </row>
    <row r="479" s="105" customFormat="true" ht="18" hidden="false" customHeight="true" outlineLevel="0" collapsed="false">
      <c r="A479" s="96" t="n">
        <v>104</v>
      </c>
      <c r="B479" s="102" t="s">
        <v>126</v>
      </c>
      <c r="C479" s="103" t="n">
        <v>43425</v>
      </c>
      <c r="D479" s="87" t="n">
        <v>1</v>
      </c>
      <c r="E479" s="99" t="n">
        <v>1</v>
      </c>
      <c r="F479" s="104" t="s">
        <v>178</v>
      </c>
      <c r="G479" s="112" t="s">
        <v>643</v>
      </c>
    </row>
    <row r="480" s="105" customFormat="true" ht="18" hidden="false" customHeight="true" outlineLevel="0" collapsed="false">
      <c r="A480" s="96" t="n">
        <v>104</v>
      </c>
      <c r="B480" s="102" t="s">
        <v>126</v>
      </c>
      <c r="C480" s="103" t="n">
        <v>43425</v>
      </c>
      <c r="D480" s="87" t="n">
        <v>1</v>
      </c>
      <c r="E480" s="99" t="n">
        <v>1</v>
      </c>
      <c r="F480" s="104" t="s">
        <v>178</v>
      </c>
      <c r="G480" s="112" t="s">
        <v>644</v>
      </c>
    </row>
    <row r="481" s="105" customFormat="true" ht="18" hidden="false" customHeight="true" outlineLevel="0" collapsed="false">
      <c r="A481" s="96" t="n">
        <v>104</v>
      </c>
      <c r="B481" s="102" t="s">
        <v>126</v>
      </c>
      <c r="C481" s="103" t="n">
        <v>43423</v>
      </c>
      <c r="D481" s="87" t="n">
        <v>1</v>
      </c>
      <c r="E481" s="99" t="n">
        <v>1</v>
      </c>
      <c r="F481" s="104" t="s">
        <v>178</v>
      </c>
      <c r="G481" s="112" t="s">
        <v>645</v>
      </c>
    </row>
    <row r="482" s="105" customFormat="true" ht="18" hidden="false" customHeight="true" outlineLevel="0" collapsed="false">
      <c r="A482" s="96" t="n">
        <v>104</v>
      </c>
      <c r="B482" s="102" t="s">
        <v>126</v>
      </c>
      <c r="C482" s="103" t="n">
        <v>43423</v>
      </c>
      <c r="D482" s="87" t="n">
        <v>1</v>
      </c>
      <c r="E482" s="99" t="n">
        <v>1</v>
      </c>
      <c r="F482" s="104" t="s">
        <v>178</v>
      </c>
      <c r="G482" s="112" t="s">
        <v>646</v>
      </c>
    </row>
    <row r="483" s="105" customFormat="true" ht="18" hidden="false" customHeight="true" outlineLevel="0" collapsed="false">
      <c r="A483" s="96" t="n">
        <v>104</v>
      </c>
      <c r="B483" s="102" t="s">
        <v>126</v>
      </c>
      <c r="C483" s="103" t="n">
        <v>43420</v>
      </c>
      <c r="D483" s="87" t="n">
        <v>1</v>
      </c>
      <c r="E483" s="99" t="n">
        <v>1</v>
      </c>
      <c r="F483" s="104" t="s">
        <v>178</v>
      </c>
      <c r="G483" s="112" t="s">
        <v>647</v>
      </c>
    </row>
    <row r="484" s="105" customFormat="true" ht="18" hidden="false" customHeight="true" outlineLevel="0" collapsed="false">
      <c r="A484" s="96" t="n">
        <v>104</v>
      </c>
      <c r="B484" s="102" t="s">
        <v>126</v>
      </c>
      <c r="C484" s="103" t="n">
        <v>43420</v>
      </c>
      <c r="D484" s="87" t="n">
        <v>1</v>
      </c>
      <c r="E484" s="99" t="n">
        <v>1</v>
      </c>
      <c r="F484" s="104" t="s">
        <v>178</v>
      </c>
      <c r="G484" s="112" t="s">
        <v>648</v>
      </c>
    </row>
    <row r="485" s="105" customFormat="true" ht="18" hidden="false" customHeight="true" outlineLevel="0" collapsed="false">
      <c r="A485" s="96" t="n">
        <v>104</v>
      </c>
      <c r="B485" s="102" t="s">
        <v>126</v>
      </c>
      <c r="C485" s="103" t="n">
        <v>43420</v>
      </c>
      <c r="D485" s="87" t="n">
        <v>1</v>
      </c>
      <c r="E485" s="99" t="n">
        <v>1</v>
      </c>
      <c r="F485" s="104" t="s">
        <v>178</v>
      </c>
      <c r="G485" s="112" t="s">
        <v>649</v>
      </c>
    </row>
    <row r="486" s="105" customFormat="true" ht="18" hidden="false" customHeight="true" outlineLevel="0" collapsed="false">
      <c r="A486" s="96" t="n">
        <v>104</v>
      </c>
      <c r="B486" s="102" t="s">
        <v>126</v>
      </c>
      <c r="C486" s="103" t="n">
        <v>43417</v>
      </c>
      <c r="D486" s="87" t="n">
        <v>1</v>
      </c>
      <c r="E486" s="99" t="n">
        <v>1</v>
      </c>
      <c r="F486" s="104" t="s">
        <v>178</v>
      </c>
      <c r="G486" s="112" t="s">
        <v>650</v>
      </c>
    </row>
    <row r="487" s="105" customFormat="true" ht="18" hidden="false" customHeight="true" outlineLevel="0" collapsed="false">
      <c r="A487" s="96" t="n">
        <v>104</v>
      </c>
      <c r="B487" s="102" t="s">
        <v>126</v>
      </c>
      <c r="C487" s="103" t="n">
        <v>43417</v>
      </c>
      <c r="D487" s="87" t="n">
        <v>1</v>
      </c>
      <c r="E487" s="99" t="n">
        <v>1</v>
      </c>
      <c r="F487" s="104" t="s">
        <v>178</v>
      </c>
      <c r="G487" s="112" t="s">
        <v>651</v>
      </c>
    </row>
    <row r="488" s="105" customFormat="true" ht="18" hidden="false" customHeight="true" outlineLevel="0" collapsed="false">
      <c r="A488" s="96" t="n">
        <v>104</v>
      </c>
      <c r="B488" s="102" t="s">
        <v>126</v>
      </c>
      <c r="C488" s="103" t="n">
        <v>43417</v>
      </c>
      <c r="D488" s="87" t="n">
        <v>1</v>
      </c>
      <c r="E488" s="99" t="n">
        <v>1</v>
      </c>
      <c r="F488" s="104" t="s">
        <v>178</v>
      </c>
      <c r="G488" s="112" t="s">
        <v>652</v>
      </c>
    </row>
    <row r="489" s="105" customFormat="true" ht="18" hidden="false" customHeight="true" outlineLevel="0" collapsed="false">
      <c r="A489" s="96" t="n">
        <v>104</v>
      </c>
      <c r="B489" s="102" t="s">
        <v>126</v>
      </c>
      <c r="C489" s="103" t="n">
        <v>43416</v>
      </c>
      <c r="D489" s="87" t="n">
        <v>1</v>
      </c>
      <c r="E489" s="99" t="n">
        <v>1</v>
      </c>
      <c r="F489" s="104" t="s">
        <v>178</v>
      </c>
      <c r="G489" s="112" t="s">
        <v>653</v>
      </c>
    </row>
    <row r="490" s="105" customFormat="true" ht="18" hidden="false" customHeight="true" outlineLevel="0" collapsed="false">
      <c r="A490" s="96" t="n">
        <v>104</v>
      </c>
      <c r="B490" s="102" t="s">
        <v>126</v>
      </c>
      <c r="C490" s="103" t="n">
        <v>43416</v>
      </c>
      <c r="D490" s="87" t="n">
        <v>3</v>
      </c>
      <c r="E490" s="99" t="n">
        <v>3</v>
      </c>
      <c r="F490" s="104" t="s">
        <v>178</v>
      </c>
      <c r="G490" s="113" t="s">
        <v>654</v>
      </c>
    </row>
    <row r="491" s="105" customFormat="true" ht="18" hidden="false" customHeight="true" outlineLevel="0" collapsed="false">
      <c r="A491" s="96" t="n">
        <v>104</v>
      </c>
      <c r="B491" s="102" t="s">
        <v>126</v>
      </c>
      <c r="C491" s="103" t="n">
        <v>43413</v>
      </c>
      <c r="D491" s="87" t="n">
        <v>1</v>
      </c>
      <c r="E491" s="99" t="n">
        <v>1</v>
      </c>
      <c r="F491" s="104" t="s">
        <v>178</v>
      </c>
      <c r="G491" s="113" t="s">
        <v>655</v>
      </c>
    </row>
    <row r="492" s="105" customFormat="true" ht="18" hidden="false" customHeight="true" outlineLevel="0" collapsed="false">
      <c r="A492" s="96" t="n">
        <v>104</v>
      </c>
      <c r="B492" s="102" t="s">
        <v>126</v>
      </c>
      <c r="C492" s="103" t="n">
        <v>43413</v>
      </c>
      <c r="D492" s="87" t="n">
        <v>1</v>
      </c>
      <c r="E492" s="99" t="n">
        <v>1</v>
      </c>
      <c r="F492" s="104" t="s">
        <v>178</v>
      </c>
      <c r="G492" s="113" t="s">
        <v>656</v>
      </c>
    </row>
    <row r="493" s="105" customFormat="true" ht="18" hidden="false" customHeight="true" outlineLevel="0" collapsed="false">
      <c r="A493" s="96" t="n">
        <v>104</v>
      </c>
      <c r="B493" s="102" t="s">
        <v>126</v>
      </c>
      <c r="C493" s="103" t="n">
        <v>43412</v>
      </c>
      <c r="D493" s="87" t="n">
        <v>1</v>
      </c>
      <c r="E493" s="99" t="n">
        <v>1</v>
      </c>
      <c r="F493" s="104" t="s">
        <v>178</v>
      </c>
      <c r="G493" s="113" t="s">
        <v>657</v>
      </c>
    </row>
    <row r="494" s="105" customFormat="true" ht="18" hidden="false" customHeight="true" outlineLevel="0" collapsed="false">
      <c r="A494" s="96" t="n">
        <v>114</v>
      </c>
      <c r="B494" s="102" t="s">
        <v>136</v>
      </c>
      <c r="C494" s="103" t="n">
        <v>43409</v>
      </c>
      <c r="D494" s="87" t="n">
        <v>1</v>
      </c>
      <c r="E494" s="99" t="n">
        <v>1</v>
      </c>
      <c r="F494" s="104" t="s">
        <v>178</v>
      </c>
      <c r="G494" s="113" t="s">
        <v>658</v>
      </c>
    </row>
    <row r="495" s="105" customFormat="true" ht="18" hidden="false" customHeight="true" outlineLevel="0" collapsed="false">
      <c r="A495" s="96" t="n">
        <v>104</v>
      </c>
      <c r="B495" s="102" t="s">
        <v>126</v>
      </c>
      <c r="C495" s="103" t="n">
        <v>43411</v>
      </c>
      <c r="D495" s="87" t="n">
        <v>1</v>
      </c>
      <c r="E495" s="99" t="n">
        <v>1</v>
      </c>
      <c r="F495" s="104" t="s">
        <v>178</v>
      </c>
      <c r="G495" s="113" t="s">
        <v>659</v>
      </c>
    </row>
    <row r="496" s="105" customFormat="true" ht="18" hidden="false" customHeight="true" outlineLevel="0" collapsed="false">
      <c r="A496" s="96" t="n">
        <v>116</v>
      </c>
      <c r="B496" s="102" t="s">
        <v>138</v>
      </c>
      <c r="C496" s="103" t="n">
        <v>43411</v>
      </c>
      <c r="D496" s="87" t="n">
        <v>1</v>
      </c>
      <c r="E496" s="99" t="n">
        <v>1</v>
      </c>
      <c r="F496" s="104" t="s">
        <v>178</v>
      </c>
      <c r="G496" s="113" t="s">
        <v>660</v>
      </c>
    </row>
    <row r="497" s="105" customFormat="true" ht="18" hidden="false" customHeight="true" outlineLevel="0" collapsed="false">
      <c r="A497" s="96" t="n">
        <v>104</v>
      </c>
      <c r="B497" s="102" t="s">
        <v>126</v>
      </c>
      <c r="C497" s="103" t="n">
        <v>43410</v>
      </c>
      <c r="D497" s="87" t="n">
        <v>1</v>
      </c>
      <c r="E497" s="99" t="n">
        <v>1</v>
      </c>
      <c r="F497" s="104" t="s">
        <v>178</v>
      </c>
      <c r="G497" s="113" t="s">
        <v>661</v>
      </c>
    </row>
    <row r="498" s="105" customFormat="true" ht="18" hidden="false" customHeight="true" outlineLevel="0" collapsed="false">
      <c r="A498" s="96" t="n">
        <v>104</v>
      </c>
      <c r="B498" s="102" t="s">
        <v>126</v>
      </c>
      <c r="C498" s="103" t="n">
        <v>43410</v>
      </c>
      <c r="D498" s="87" t="n">
        <v>1</v>
      </c>
      <c r="E498" s="99" t="n">
        <v>1</v>
      </c>
      <c r="F498" s="104" t="s">
        <v>178</v>
      </c>
      <c r="G498" s="113" t="s">
        <v>662</v>
      </c>
    </row>
    <row r="499" s="105" customFormat="true" ht="18" hidden="false" customHeight="true" outlineLevel="0" collapsed="false">
      <c r="A499" s="96" t="n">
        <v>104</v>
      </c>
      <c r="B499" s="102" t="s">
        <v>126</v>
      </c>
      <c r="C499" s="103" t="n">
        <v>43410</v>
      </c>
      <c r="D499" s="87" t="n">
        <v>1</v>
      </c>
      <c r="E499" s="99" t="n">
        <v>1</v>
      </c>
      <c r="F499" s="104" t="s">
        <v>178</v>
      </c>
      <c r="G499" s="113" t="s">
        <v>663</v>
      </c>
    </row>
    <row r="500" s="105" customFormat="true" ht="18" hidden="false" customHeight="true" outlineLevel="0" collapsed="false">
      <c r="A500" s="96" t="n">
        <v>104</v>
      </c>
      <c r="B500" s="102" t="s">
        <v>126</v>
      </c>
      <c r="C500" s="103" t="n">
        <v>43409</v>
      </c>
      <c r="D500" s="87" t="n">
        <v>1</v>
      </c>
      <c r="E500" s="99" t="n">
        <v>1</v>
      </c>
      <c r="F500" s="104" t="s">
        <v>178</v>
      </c>
      <c r="G500" s="113" t="s">
        <v>664</v>
      </c>
    </row>
    <row r="501" s="105" customFormat="true" ht="18" hidden="false" customHeight="true" outlineLevel="0" collapsed="false">
      <c r="A501" s="96" t="n">
        <v>104</v>
      </c>
      <c r="B501" s="102" t="s">
        <v>126</v>
      </c>
      <c r="C501" s="103" t="n">
        <v>43409</v>
      </c>
      <c r="D501" s="87" t="n">
        <v>1</v>
      </c>
      <c r="E501" s="99" t="n">
        <v>1</v>
      </c>
      <c r="F501" s="104" t="s">
        <v>178</v>
      </c>
      <c r="G501" s="113" t="s">
        <v>665</v>
      </c>
    </row>
    <row r="502" s="105" customFormat="true" ht="18" hidden="false" customHeight="true" outlineLevel="0" collapsed="false">
      <c r="A502" s="96" t="n">
        <v>104</v>
      </c>
      <c r="B502" s="102" t="s">
        <v>126</v>
      </c>
      <c r="C502" s="103" t="n">
        <v>43409</v>
      </c>
      <c r="D502" s="87" t="n">
        <v>1</v>
      </c>
      <c r="E502" s="99" t="n">
        <v>1</v>
      </c>
      <c r="F502" s="104" t="s">
        <v>178</v>
      </c>
      <c r="G502" s="113" t="s">
        <v>666</v>
      </c>
    </row>
    <row r="503" s="105" customFormat="true" ht="18" hidden="false" customHeight="true" outlineLevel="0" collapsed="false">
      <c r="A503" s="96" t="n">
        <v>104</v>
      </c>
      <c r="B503" s="102" t="s">
        <v>126</v>
      </c>
      <c r="C503" s="103" t="n">
        <v>43407</v>
      </c>
      <c r="D503" s="87" t="n">
        <v>1</v>
      </c>
      <c r="E503" s="99" t="n">
        <v>1</v>
      </c>
      <c r="F503" s="104" t="s">
        <v>178</v>
      </c>
      <c r="G503" s="113" t="s">
        <v>667</v>
      </c>
    </row>
    <row r="504" s="105" customFormat="true" ht="18" hidden="false" customHeight="true" outlineLevel="0" collapsed="false">
      <c r="A504" s="96" t="n">
        <v>104</v>
      </c>
      <c r="B504" s="102" t="s">
        <v>126</v>
      </c>
      <c r="C504" s="103" t="n">
        <v>43407</v>
      </c>
      <c r="D504" s="87" t="n">
        <v>1</v>
      </c>
      <c r="E504" s="99" t="n">
        <v>1</v>
      </c>
      <c r="F504" s="104" t="s">
        <v>178</v>
      </c>
      <c r="G504" s="113" t="s">
        <v>668</v>
      </c>
    </row>
    <row r="505" s="105" customFormat="true" ht="18" hidden="false" customHeight="true" outlineLevel="0" collapsed="false">
      <c r="A505" s="96" t="n">
        <v>104</v>
      </c>
      <c r="B505" s="102" t="s">
        <v>126</v>
      </c>
      <c r="C505" s="103" t="n">
        <v>43407</v>
      </c>
      <c r="D505" s="87" t="n">
        <v>1</v>
      </c>
      <c r="E505" s="99" t="n">
        <v>1</v>
      </c>
      <c r="F505" s="104" t="s">
        <v>178</v>
      </c>
      <c r="G505" s="113" t="s">
        <v>669</v>
      </c>
    </row>
    <row r="506" s="105" customFormat="true" ht="18" hidden="false" customHeight="true" outlineLevel="0" collapsed="false">
      <c r="A506" s="96" t="n">
        <v>104</v>
      </c>
      <c r="B506" s="102" t="s">
        <v>126</v>
      </c>
      <c r="C506" s="103" t="n">
        <v>43405</v>
      </c>
      <c r="D506" s="87" t="n">
        <v>1</v>
      </c>
      <c r="E506" s="99" t="n">
        <v>1</v>
      </c>
      <c r="F506" s="104" t="s">
        <v>178</v>
      </c>
      <c r="G506" s="113" t="s">
        <v>670</v>
      </c>
    </row>
    <row r="507" s="105" customFormat="true" ht="18" hidden="false" customHeight="true" outlineLevel="0" collapsed="false">
      <c r="A507" s="96" t="n">
        <v>104</v>
      </c>
      <c r="B507" s="102" t="s">
        <v>126</v>
      </c>
      <c r="C507" s="103" t="n">
        <v>43405</v>
      </c>
      <c r="D507" s="87" t="n">
        <v>1</v>
      </c>
      <c r="E507" s="99" t="n">
        <v>1</v>
      </c>
      <c r="F507" s="104" t="s">
        <v>178</v>
      </c>
      <c r="G507" s="113" t="s">
        <v>671</v>
      </c>
    </row>
    <row r="508" s="105" customFormat="true" ht="18" hidden="false" customHeight="true" outlineLevel="0" collapsed="false">
      <c r="A508" s="96" t="n">
        <v>115</v>
      </c>
      <c r="B508" s="102" t="s">
        <v>137</v>
      </c>
      <c r="C508" s="103" t="n">
        <v>43405</v>
      </c>
      <c r="D508" s="87" t="n">
        <v>1</v>
      </c>
      <c r="E508" s="99" t="n">
        <v>1</v>
      </c>
      <c r="F508" s="104" t="s">
        <v>178</v>
      </c>
      <c r="G508" s="113" t="s">
        <v>672</v>
      </c>
    </row>
    <row r="509" s="105" customFormat="true" ht="18" hidden="false" customHeight="true" outlineLevel="0" collapsed="false">
      <c r="A509" s="96" t="n">
        <v>104</v>
      </c>
      <c r="B509" s="102" t="s">
        <v>126</v>
      </c>
      <c r="C509" s="103" t="n">
        <v>43405</v>
      </c>
      <c r="D509" s="87" t="n">
        <v>1</v>
      </c>
      <c r="E509" s="99" t="n">
        <v>1</v>
      </c>
      <c r="F509" s="104" t="s">
        <v>178</v>
      </c>
      <c r="G509" s="113" t="s">
        <v>673</v>
      </c>
    </row>
    <row r="510" s="105" customFormat="true" ht="18" hidden="false" customHeight="true" outlineLevel="0" collapsed="false">
      <c r="A510" s="96" t="n">
        <v>104</v>
      </c>
      <c r="B510" s="102" t="s">
        <v>126</v>
      </c>
      <c r="C510" s="103" t="n">
        <v>43404</v>
      </c>
      <c r="D510" s="87" t="n">
        <v>1</v>
      </c>
      <c r="E510" s="99" t="n">
        <v>1</v>
      </c>
      <c r="F510" s="104" t="s">
        <v>178</v>
      </c>
      <c r="G510" s="113" t="s">
        <v>674</v>
      </c>
    </row>
    <row r="511" s="105" customFormat="true" ht="18" hidden="false" customHeight="true" outlineLevel="0" collapsed="false">
      <c r="A511" s="96" t="n">
        <v>104</v>
      </c>
      <c r="B511" s="102" t="s">
        <v>126</v>
      </c>
      <c r="C511" s="103" t="n">
        <v>43403</v>
      </c>
      <c r="D511" s="87" t="n">
        <v>1</v>
      </c>
      <c r="E511" s="99" t="n">
        <v>1</v>
      </c>
      <c r="F511" s="104" t="s">
        <v>178</v>
      </c>
      <c r="G511" s="113" t="s">
        <v>675</v>
      </c>
    </row>
    <row r="512" s="105" customFormat="true" ht="18" hidden="false" customHeight="true" outlineLevel="0" collapsed="false">
      <c r="A512" s="96" t="n">
        <v>116</v>
      </c>
      <c r="B512" s="102" t="s">
        <v>138</v>
      </c>
      <c r="C512" s="103" t="n">
        <v>43402</v>
      </c>
      <c r="D512" s="87" t="n">
        <v>1</v>
      </c>
      <c r="E512" s="99" t="n">
        <v>1</v>
      </c>
      <c r="F512" s="104" t="s">
        <v>178</v>
      </c>
      <c r="G512" s="113" t="s">
        <v>676</v>
      </c>
    </row>
    <row r="513" s="105" customFormat="true" ht="18" hidden="false" customHeight="true" outlineLevel="0" collapsed="false">
      <c r="A513" s="96" t="n">
        <v>121</v>
      </c>
      <c r="B513" s="102" t="s">
        <v>143</v>
      </c>
      <c r="C513" s="103" t="n">
        <v>43402</v>
      </c>
      <c r="D513" s="87" t="n">
        <v>1</v>
      </c>
      <c r="E513" s="99" t="n">
        <v>1</v>
      </c>
      <c r="F513" s="104" t="s">
        <v>178</v>
      </c>
      <c r="G513" s="113" t="s">
        <v>677</v>
      </c>
    </row>
    <row r="514" s="105" customFormat="true" ht="18" hidden="false" customHeight="true" outlineLevel="0" collapsed="false">
      <c r="A514" s="96" t="n">
        <v>104</v>
      </c>
      <c r="B514" s="102" t="s">
        <v>126</v>
      </c>
      <c r="C514" s="103" t="n">
        <v>43402</v>
      </c>
      <c r="D514" s="87" t="n">
        <v>1</v>
      </c>
      <c r="E514" s="99" t="n">
        <v>1</v>
      </c>
      <c r="F514" s="104" t="s">
        <v>178</v>
      </c>
      <c r="G514" s="113" t="s">
        <v>678</v>
      </c>
    </row>
    <row r="515" s="105" customFormat="true" ht="18" hidden="false" customHeight="true" outlineLevel="0" collapsed="false">
      <c r="A515" s="96" t="n">
        <v>104</v>
      </c>
      <c r="B515" s="102" t="s">
        <v>126</v>
      </c>
      <c r="C515" s="103" t="n">
        <v>43402</v>
      </c>
      <c r="D515" s="87" t="n">
        <v>1</v>
      </c>
      <c r="E515" s="99" t="n">
        <v>1</v>
      </c>
      <c r="F515" s="104" t="s">
        <v>178</v>
      </c>
      <c r="G515" s="113" t="s">
        <v>679</v>
      </c>
    </row>
    <row r="516" s="105" customFormat="true" ht="18" hidden="false" customHeight="true" outlineLevel="0" collapsed="false">
      <c r="A516" s="96" t="n">
        <v>104</v>
      </c>
      <c r="B516" s="102" t="s">
        <v>126</v>
      </c>
      <c r="C516" s="103" t="n">
        <v>43402</v>
      </c>
      <c r="D516" s="87" t="n">
        <v>1</v>
      </c>
      <c r="E516" s="99" t="n">
        <v>1</v>
      </c>
      <c r="F516" s="104" t="s">
        <v>178</v>
      </c>
      <c r="G516" s="113" t="s">
        <v>680</v>
      </c>
    </row>
    <row r="517" s="105" customFormat="true" ht="18" hidden="false" customHeight="true" outlineLevel="0" collapsed="false">
      <c r="A517" s="96" t="n">
        <v>104</v>
      </c>
      <c r="B517" s="102" t="s">
        <v>126</v>
      </c>
      <c r="C517" s="103" t="n">
        <v>43401</v>
      </c>
      <c r="D517" s="87" t="n">
        <v>1</v>
      </c>
      <c r="E517" s="99" t="n">
        <v>1</v>
      </c>
      <c r="F517" s="104" t="s">
        <v>178</v>
      </c>
      <c r="G517" s="113" t="s">
        <v>681</v>
      </c>
    </row>
    <row r="518" s="105" customFormat="true" ht="18" hidden="false" customHeight="true" outlineLevel="0" collapsed="false">
      <c r="A518" s="96" t="n">
        <v>104</v>
      </c>
      <c r="B518" s="102" t="s">
        <v>126</v>
      </c>
      <c r="C518" s="103" t="n">
        <v>43399</v>
      </c>
      <c r="D518" s="87" t="n">
        <v>1</v>
      </c>
      <c r="E518" s="99" t="n">
        <v>1</v>
      </c>
      <c r="F518" s="104" t="s">
        <v>178</v>
      </c>
      <c r="G518" s="113" t="s">
        <v>682</v>
      </c>
    </row>
    <row r="519" s="105" customFormat="true" ht="18" hidden="false" customHeight="true" outlineLevel="0" collapsed="false">
      <c r="A519" s="96" t="n">
        <v>104</v>
      </c>
      <c r="B519" s="102" t="s">
        <v>126</v>
      </c>
      <c r="C519" s="103" t="n">
        <v>43398</v>
      </c>
      <c r="D519" s="87" t="n">
        <v>2</v>
      </c>
      <c r="E519" s="99" t="n">
        <v>1</v>
      </c>
      <c r="F519" s="104" t="s">
        <v>178</v>
      </c>
      <c r="G519" s="113" t="s">
        <v>683</v>
      </c>
    </row>
    <row r="520" s="105" customFormat="true" ht="18" hidden="false" customHeight="true" outlineLevel="0" collapsed="false">
      <c r="A520" s="96" t="n">
        <v>116</v>
      </c>
      <c r="B520" s="102" t="s">
        <v>138</v>
      </c>
      <c r="C520" s="103" t="n">
        <v>43398</v>
      </c>
      <c r="D520" s="87" t="n">
        <v>1</v>
      </c>
      <c r="E520" s="99" t="n">
        <v>1</v>
      </c>
      <c r="F520" s="104" t="s">
        <v>178</v>
      </c>
      <c r="G520" s="113" t="s">
        <v>684</v>
      </c>
    </row>
    <row r="521" s="105" customFormat="true" ht="18" hidden="false" customHeight="true" outlineLevel="0" collapsed="false">
      <c r="A521" s="96" t="n">
        <v>104</v>
      </c>
      <c r="B521" s="102" t="s">
        <v>126</v>
      </c>
      <c r="C521" s="103" t="n">
        <v>43396</v>
      </c>
      <c r="D521" s="87" t="n">
        <v>1</v>
      </c>
      <c r="E521" s="99" t="n">
        <v>1</v>
      </c>
      <c r="F521" s="104" t="s">
        <v>178</v>
      </c>
      <c r="G521" s="113" t="s">
        <v>685</v>
      </c>
    </row>
    <row r="522" s="105" customFormat="true" ht="18" hidden="false" customHeight="true" outlineLevel="0" collapsed="false">
      <c r="A522" s="96" t="n">
        <v>104</v>
      </c>
      <c r="B522" s="102" t="s">
        <v>126</v>
      </c>
      <c r="C522" s="103" t="n">
        <v>43396</v>
      </c>
      <c r="D522" s="87" t="n">
        <v>1</v>
      </c>
      <c r="E522" s="99" t="n">
        <v>1</v>
      </c>
      <c r="F522" s="104" t="s">
        <v>178</v>
      </c>
      <c r="G522" s="113" t="s">
        <v>686</v>
      </c>
    </row>
    <row r="523" s="105" customFormat="true" ht="18" hidden="false" customHeight="true" outlineLevel="0" collapsed="false">
      <c r="A523" s="96" t="n">
        <v>104</v>
      </c>
      <c r="B523" s="102" t="s">
        <v>126</v>
      </c>
      <c r="C523" s="103" t="n">
        <v>43395</v>
      </c>
      <c r="D523" s="87" t="n">
        <v>1</v>
      </c>
      <c r="E523" s="99" t="n">
        <v>1</v>
      </c>
      <c r="F523" s="104" t="s">
        <v>178</v>
      </c>
      <c r="G523" s="113" t="s">
        <v>687</v>
      </c>
    </row>
    <row r="524" s="105" customFormat="true" ht="18" hidden="false" customHeight="true" outlineLevel="0" collapsed="false">
      <c r="A524" s="96" t="n">
        <v>104</v>
      </c>
      <c r="B524" s="102" t="s">
        <v>126</v>
      </c>
      <c r="C524" s="103" t="n">
        <v>43395</v>
      </c>
      <c r="D524" s="87" t="n">
        <v>1</v>
      </c>
      <c r="E524" s="99" t="n">
        <v>1</v>
      </c>
      <c r="F524" s="104" t="s">
        <v>178</v>
      </c>
      <c r="G524" s="113" t="s">
        <v>688</v>
      </c>
    </row>
    <row r="525" s="105" customFormat="true" ht="18" hidden="false" customHeight="true" outlineLevel="0" collapsed="false">
      <c r="A525" s="96" t="n">
        <v>104</v>
      </c>
      <c r="B525" s="102" t="s">
        <v>126</v>
      </c>
      <c r="C525" s="103" t="n">
        <v>43395</v>
      </c>
      <c r="D525" s="87" t="n">
        <v>4</v>
      </c>
      <c r="E525" s="99" t="n">
        <v>1</v>
      </c>
      <c r="F525" s="104" t="s">
        <v>178</v>
      </c>
      <c r="G525" s="113" t="s">
        <v>689</v>
      </c>
    </row>
    <row r="526" s="105" customFormat="true" ht="18" hidden="false" customHeight="true" outlineLevel="0" collapsed="false">
      <c r="A526" s="96" t="n">
        <v>104</v>
      </c>
      <c r="B526" s="102" t="s">
        <v>126</v>
      </c>
      <c r="C526" s="103" t="n">
        <v>43393</v>
      </c>
      <c r="D526" s="87" t="n">
        <v>4</v>
      </c>
      <c r="E526" s="99" t="n">
        <v>1</v>
      </c>
      <c r="F526" s="104" t="s">
        <v>178</v>
      </c>
      <c r="G526" s="113" t="s">
        <v>690</v>
      </c>
    </row>
    <row r="527" s="105" customFormat="true" ht="18" hidden="false" customHeight="true" outlineLevel="0" collapsed="false">
      <c r="A527" s="96" t="n">
        <v>104</v>
      </c>
      <c r="B527" s="102" t="s">
        <v>126</v>
      </c>
      <c r="C527" s="103" t="n">
        <v>43390</v>
      </c>
      <c r="D527" s="87" t="n">
        <v>1</v>
      </c>
      <c r="E527" s="99" t="n">
        <v>1</v>
      </c>
      <c r="F527" s="104" t="s">
        <v>178</v>
      </c>
      <c r="G527" s="113" t="s">
        <v>691</v>
      </c>
    </row>
    <row r="528" s="105" customFormat="true" ht="18" hidden="false" customHeight="true" outlineLevel="0" collapsed="false">
      <c r="A528" s="96" t="n">
        <v>104</v>
      </c>
      <c r="B528" s="102" t="s">
        <v>126</v>
      </c>
      <c r="C528" s="103" t="n">
        <v>43390</v>
      </c>
      <c r="D528" s="87" t="n">
        <v>1</v>
      </c>
      <c r="E528" s="99" t="n">
        <v>1</v>
      </c>
      <c r="F528" s="104" t="s">
        <v>178</v>
      </c>
      <c r="G528" s="113" t="s">
        <v>692</v>
      </c>
    </row>
    <row r="529" s="105" customFormat="true" ht="18" hidden="false" customHeight="true" outlineLevel="0" collapsed="false">
      <c r="A529" s="96" t="n">
        <v>132</v>
      </c>
      <c r="B529" s="102" t="s">
        <v>154</v>
      </c>
      <c r="C529" s="103" t="n">
        <v>43384</v>
      </c>
      <c r="D529" s="87" t="n">
        <v>1</v>
      </c>
      <c r="E529" s="99" t="n">
        <v>1</v>
      </c>
      <c r="F529" s="104" t="s">
        <v>178</v>
      </c>
      <c r="G529" s="113" t="s">
        <v>693</v>
      </c>
    </row>
    <row r="530" s="105" customFormat="true" ht="18" hidden="false" customHeight="true" outlineLevel="0" collapsed="false">
      <c r="A530" s="96" t="n">
        <v>104</v>
      </c>
      <c r="B530" s="102" t="s">
        <v>126</v>
      </c>
      <c r="C530" s="103" t="n">
        <v>43389</v>
      </c>
      <c r="D530" s="87" t="n">
        <v>1</v>
      </c>
      <c r="E530" s="99" t="n">
        <v>1</v>
      </c>
      <c r="F530" s="104" t="s">
        <v>178</v>
      </c>
      <c r="G530" s="113" t="s">
        <v>694</v>
      </c>
    </row>
    <row r="531" s="105" customFormat="true" ht="18" hidden="false" customHeight="true" outlineLevel="0" collapsed="false">
      <c r="A531" s="96" t="n">
        <v>104</v>
      </c>
      <c r="B531" s="102" t="s">
        <v>126</v>
      </c>
      <c r="C531" s="103" t="n">
        <v>43389</v>
      </c>
      <c r="D531" s="87" t="n">
        <v>1</v>
      </c>
      <c r="E531" s="99" t="n">
        <v>1</v>
      </c>
      <c r="F531" s="104" t="s">
        <v>178</v>
      </c>
      <c r="G531" s="113" t="s">
        <v>695</v>
      </c>
    </row>
    <row r="532" s="105" customFormat="true" ht="18" hidden="false" customHeight="true" outlineLevel="0" collapsed="false">
      <c r="A532" s="96" t="n">
        <v>104</v>
      </c>
      <c r="B532" s="102" t="s">
        <v>126</v>
      </c>
      <c r="C532" s="103" t="n">
        <v>43389</v>
      </c>
      <c r="D532" s="87" t="n">
        <v>1</v>
      </c>
      <c r="E532" s="99" t="n">
        <v>1</v>
      </c>
      <c r="F532" s="104" t="s">
        <v>178</v>
      </c>
      <c r="G532" s="113" t="s">
        <v>696</v>
      </c>
    </row>
    <row r="533" s="105" customFormat="true" ht="18" hidden="false" customHeight="true" outlineLevel="0" collapsed="false">
      <c r="A533" s="96" t="n">
        <v>104</v>
      </c>
      <c r="B533" s="102" t="s">
        <v>126</v>
      </c>
      <c r="C533" s="103" t="n">
        <v>43388</v>
      </c>
      <c r="D533" s="87" t="n">
        <v>3</v>
      </c>
      <c r="E533" s="99" t="n">
        <v>1</v>
      </c>
      <c r="F533" s="104" t="s">
        <v>178</v>
      </c>
      <c r="G533" s="113" t="s">
        <v>697</v>
      </c>
    </row>
    <row r="534" s="105" customFormat="true" ht="18" hidden="false" customHeight="true" outlineLevel="0" collapsed="false">
      <c r="A534" s="96" t="n">
        <v>104</v>
      </c>
      <c r="B534" s="102" t="s">
        <v>126</v>
      </c>
      <c r="C534" s="103" t="n">
        <v>43385</v>
      </c>
      <c r="D534" s="87" t="n">
        <v>1</v>
      </c>
      <c r="E534" s="99" t="n">
        <v>1</v>
      </c>
      <c r="F534" s="104" t="s">
        <v>178</v>
      </c>
      <c r="G534" s="113" t="s">
        <v>698</v>
      </c>
    </row>
    <row r="535" s="105" customFormat="true" ht="18" hidden="false" customHeight="true" outlineLevel="0" collapsed="false">
      <c r="A535" s="96" t="n">
        <v>104</v>
      </c>
      <c r="B535" s="102" t="s">
        <v>126</v>
      </c>
      <c r="C535" s="103" t="n">
        <v>43388</v>
      </c>
      <c r="D535" s="87" t="n">
        <v>1</v>
      </c>
      <c r="E535" s="99" t="n">
        <v>1</v>
      </c>
      <c r="F535" s="104" t="s">
        <v>178</v>
      </c>
      <c r="G535" s="113" t="s">
        <v>699</v>
      </c>
    </row>
    <row r="536" s="105" customFormat="true" ht="18" hidden="false" customHeight="true" outlineLevel="0" collapsed="false">
      <c r="A536" s="96" t="n">
        <v>115</v>
      </c>
      <c r="B536" s="102" t="s">
        <v>137</v>
      </c>
      <c r="C536" s="103" t="n">
        <v>43384</v>
      </c>
      <c r="D536" s="87" t="n">
        <v>1</v>
      </c>
      <c r="E536" s="99" t="n">
        <v>1</v>
      </c>
      <c r="F536" s="104" t="s">
        <v>178</v>
      </c>
      <c r="G536" s="113" t="s">
        <v>700</v>
      </c>
    </row>
    <row r="537" s="105" customFormat="true" ht="18" hidden="false" customHeight="true" outlineLevel="0" collapsed="false">
      <c r="A537" s="96" t="n">
        <v>116</v>
      </c>
      <c r="B537" s="102" t="s">
        <v>138</v>
      </c>
      <c r="C537" s="103" t="n">
        <v>43384</v>
      </c>
      <c r="D537" s="87" t="n">
        <v>2</v>
      </c>
      <c r="E537" s="99" t="n">
        <v>1</v>
      </c>
      <c r="F537" s="104" t="s">
        <v>178</v>
      </c>
      <c r="G537" s="113" t="s">
        <v>701</v>
      </c>
    </row>
    <row r="538" s="105" customFormat="true" ht="18" hidden="false" customHeight="true" outlineLevel="0" collapsed="false">
      <c r="A538" s="96" t="n">
        <v>104</v>
      </c>
      <c r="B538" s="102" t="s">
        <v>126</v>
      </c>
      <c r="C538" s="103" t="n">
        <v>43383</v>
      </c>
      <c r="D538" s="87" t="n">
        <v>2</v>
      </c>
      <c r="E538" s="99" t="n">
        <v>1</v>
      </c>
      <c r="F538" s="104" t="s">
        <v>178</v>
      </c>
      <c r="G538" s="113" t="s">
        <v>702</v>
      </c>
    </row>
    <row r="539" s="105" customFormat="true" ht="18" hidden="false" customHeight="true" outlineLevel="0" collapsed="false">
      <c r="A539" s="96" t="n">
        <v>104</v>
      </c>
      <c r="B539" s="102" t="s">
        <v>126</v>
      </c>
      <c r="C539" s="103" t="n">
        <v>43383</v>
      </c>
      <c r="D539" s="87" t="n">
        <v>1</v>
      </c>
      <c r="E539" s="99" t="n">
        <v>1</v>
      </c>
      <c r="F539" s="104" t="s">
        <v>178</v>
      </c>
      <c r="G539" s="113" t="s">
        <v>703</v>
      </c>
    </row>
    <row r="540" s="105" customFormat="true" ht="18" hidden="false" customHeight="true" outlineLevel="0" collapsed="false">
      <c r="A540" s="96" t="n">
        <v>113</v>
      </c>
      <c r="B540" s="102" t="s">
        <v>135</v>
      </c>
      <c r="C540" s="103" t="n">
        <v>43383</v>
      </c>
      <c r="D540" s="87" t="n">
        <v>1</v>
      </c>
      <c r="E540" s="99" t="n">
        <v>1</v>
      </c>
      <c r="F540" s="104" t="s">
        <v>178</v>
      </c>
      <c r="G540" s="113" t="s">
        <v>704</v>
      </c>
    </row>
    <row r="541" s="105" customFormat="true" ht="18" hidden="false" customHeight="true" outlineLevel="0" collapsed="false">
      <c r="A541" s="96" t="n">
        <v>104</v>
      </c>
      <c r="B541" s="102" t="s">
        <v>126</v>
      </c>
      <c r="C541" s="103" t="n">
        <v>43382</v>
      </c>
      <c r="D541" s="87" t="n">
        <v>1</v>
      </c>
      <c r="E541" s="99" t="n">
        <v>1</v>
      </c>
      <c r="F541" s="104" t="s">
        <v>178</v>
      </c>
      <c r="G541" s="113" t="s">
        <v>705</v>
      </c>
    </row>
    <row r="542" s="105" customFormat="true" ht="18" hidden="false" customHeight="true" outlineLevel="0" collapsed="false">
      <c r="A542" s="96" t="n">
        <v>104</v>
      </c>
      <c r="B542" s="102" t="s">
        <v>126</v>
      </c>
      <c r="C542" s="103" t="n">
        <v>43381</v>
      </c>
      <c r="D542" s="87" t="n">
        <v>2</v>
      </c>
      <c r="E542" s="99" t="n">
        <v>1</v>
      </c>
      <c r="F542" s="104" t="s">
        <v>178</v>
      </c>
      <c r="G542" s="113" t="s">
        <v>706</v>
      </c>
    </row>
    <row r="543" s="105" customFormat="true" ht="18" hidden="false" customHeight="true" outlineLevel="0" collapsed="false">
      <c r="A543" s="96" t="n">
        <v>104</v>
      </c>
      <c r="B543" s="102" t="s">
        <v>126</v>
      </c>
      <c r="C543" s="103" t="n">
        <v>43381</v>
      </c>
      <c r="D543" s="87" t="n">
        <v>1</v>
      </c>
      <c r="E543" s="99" t="n">
        <v>1</v>
      </c>
      <c r="F543" s="104" t="s">
        <v>178</v>
      </c>
      <c r="G543" s="113" t="s">
        <v>707</v>
      </c>
    </row>
    <row r="544" s="105" customFormat="true" ht="18" hidden="false" customHeight="true" outlineLevel="0" collapsed="false">
      <c r="A544" s="96" t="n">
        <v>104</v>
      </c>
      <c r="B544" s="102" t="s">
        <v>126</v>
      </c>
      <c r="C544" s="103" t="n">
        <v>43378</v>
      </c>
      <c r="D544" s="87" t="n">
        <v>1</v>
      </c>
      <c r="E544" s="99" t="n">
        <v>1</v>
      </c>
      <c r="F544" s="104" t="s">
        <v>178</v>
      </c>
      <c r="G544" s="113" t="s">
        <v>708</v>
      </c>
    </row>
    <row r="545" s="105" customFormat="true" ht="18" hidden="false" customHeight="true" outlineLevel="0" collapsed="false">
      <c r="A545" s="96" t="n">
        <v>104</v>
      </c>
      <c r="B545" s="102" t="s">
        <v>126</v>
      </c>
      <c r="C545" s="103" t="n">
        <v>43381</v>
      </c>
      <c r="D545" s="87" t="n">
        <v>1</v>
      </c>
      <c r="E545" s="99" t="n">
        <v>1</v>
      </c>
      <c r="F545" s="104" t="s">
        <v>178</v>
      </c>
      <c r="G545" s="113" t="s">
        <v>709</v>
      </c>
    </row>
    <row r="546" s="105" customFormat="true" ht="18" hidden="false" customHeight="true" outlineLevel="0" collapsed="false">
      <c r="A546" s="96" t="n">
        <v>105</v>
      </c>
      <c r="B546" s="102" t="s">
        <v>127</v>
      </c>
      <c r="C546" s="103" t="n">
        <v>43378</v>
      </c>
      <c r="D546" s="87" t="n">
        <v>1</v>
      </c>
      <c r="E546" s="99" t="n">
        <v>1</v>
      </c>
      <c r="F546" s="104" t="s">
        <v>178</v>
      </c>
      <c r="G546" s="113" t="s">
        <v>710</v>
      </c>
    </row>
    <row r="547" s="105" customFormat="true" ht="18" hidden="false" customHeight="true" outlineLevel="0" collapsed="false">
      <c r="A547" s="96" t="n">
        <v>104</v>
      </c>
      <c r="B547" s="102" t="s">
        <v>126</v>
      </c>
      <c r="C547" s="103" t="n">
        <v>43378</v>
      </c>
      <c r="D547" s="87" t="n">
        <v>1</v>
      </c>
      <c r="E547" s="99" t="n">
        <v>1</v>
      </c>
      <c r="F547" s="104" t="s">
        <v>178</v>
      </c>
      <c r="G547" s="113" t="s">
        <v>711</v>
      </c>
    </row>
    <row r="548" s="105" customFormat="true" ht="18" hidden="false" customHeight="true" outlineLevel="0" collapsed="false">
      <c r="A548" s="96" t="n">
        <v>104</v>
      </c>
      <c r="B548" s="102" t="s">
        <v>126</v>
      </c>
      <c r="C548" s="103" t="n">
        <v>43378</v>
      </c>
      <c r="D548" s="87" t="n">
        <v>1</v>
      </c>
      <c r="E548" s="99" t="n">
        <v>1</v>
      </c>
      <c r="F548" s="104" t="s">
        <v>178</v>
      </c>
      <c r="G548" s="113" t="s">
        <v>712</v>
      </c>
    </row>
    <row r="549" s="105" customFormat="true" ht="18" hidden="false" customHeight="true" outlineLevel="0" collapsed="false">
      <c r="A549" s="96" t="n">
        <v>104</v>
      </c>
      <c r="B549" s="102" t="s">
        <v>126</v>
      </c>
      <c r="C549" s="103" t="n">
        <v>43378</v>
      </c>
      <c r="D549" s="87" t="n">
        <v>1</v>
      </c>
      <c r="E549" s="99" t="n">
        <v>1</v>
      </c>
      <c r="F549" s="104" t="s">
        <v>178</v>
      </c>
      <c r="G549" s="113" t="s">
        <v>713</v>
      </c>
    </row>
    <row r="550" s="105" customFormat="true" ht="18" hidden="false" customHeight="true" outlineLevel="0" collapsed="false">
      <c r="A550" s="96" t="n">
        <v>104</v>
      </c>
      <c r="B550" s="102" t="s">
        <v>126</v>
      </c>
      <c r="C550" s="103" t="n">
        <v>43377</v>
      </c>
      <c r="D550" s="87" t="n">
        <v>1</v>
      </c>
      <c r="E550" s="99" t="n">
        <v>1</v>
      </c>
      <c r="F550" s="104" t="s">
        <v>178</v>
      </c>
      <c r="G550" s="113" t="s">
        <v>714</v>
      </c>
    </row>
    <row r="551" s="105" customFormat="true" ht="18" hidden="false" customHeight="true" outlineLevel="0" collapsed="false">
      <c r="A551" s="96" t="n">
        <v>116</v>
      </c>
      <c r="B551" s="102" t="s">
        <v>138</v>
      </c>
      <c r="C551" s="103" t="n">
        <v>43377</v>
      </c>
      <c r="D551" s="87" t="n">
        <v>1</v>
      </c>
      <c r="E551" s="99" t="n">
        <v>1</v>
      </c>
      <c r="F551" s="104" t="s">
        <v>178</v>
      </c>
      <c r="G551" s="113" t="s">
        <v>715</v>
      </c>
    </row>
    <row r="552" s="105" customFormat="true" ht="18" hidden="false" customHeight="true" outlineLevel="0" collapsed="false">
      <c r="A552" s="96" t="n">
        <v>104</v>
      </c>
      <c r="B552" s="102" t="s">
        <v>126</v>
      </c>
      <c r="C552" s="103" t="n">
        <v>43377</v>
      </c>
      <c r="D552" s="87" t="n">
        <v>1</v>
      </c>
      <c r="E552" s="99" t="n">
        <v>1</v>
      </c>
      <c r="F552" s="104" t="s">
        <v>178</v>
      </c>
      <c r="G552" s="113" t="s">
        <v>716</v>
      </c>
    </row>
    <row r="553" s="105" customFormat="true" ht="18" hidden="false" customHeight="true" outlineLevel="0" collapsed="false">
      <c r="A553" s="96" t="n">
        <v>104</v>
      </c>
      <c r="B553" s="102" t="s">
        <v>126</v>
      </c>
      <c r="C553" s="103" t="n">
        <v>43376</v>
      </c>
      <c r="D553" s="87" t="n">
        <v>1</v>
      </c>
      <c r="E553" s="99" t="n">
        <v>1</v>
      </c>
      <c r="F553" s="104" t="s">
        <v>178</v>
      </c>
      <c r="G553" s="113" t="s">
        <v>717</v>
      </c>
    </row>
    <row r="554" s="105" customFormat="true" ht="18" hidden="false" customHeight="true" outlineLevel="0" collapsed="false">
      <c r="A554" s="96" t="n">
        <v>104</v>
      </c>
      <c r="B554" s="102" t="s">
        <v>126</v>
      </c>
      <c r="C554" s="103" t="n">
        <v>43376</v>
      </c>
      <c r="D554" s="87" t="n">
        <v>1</v>
      </c>
      <c r="E554" s="99" t="n">
        <v>1</v>
      </c>
      <c r="F554" s="104" t="s">
        <v>178</v>
      </c>
      <c r="G554" s="113" t="s">
        <v>718</v>
      </c>
    </row>
    <row r="555" s="105" customFormat="true" ht="18" hidden="false" customHeight="true" outlineLevel="0" collapsed="false">
      <c r="A555" s="96" t="n">
        <v>104</v>
      </c>
      <c r="B555" s="102" t="s">
        <v>126</v>
      </c>
      <c r="C555" s="103" t="n">
        <v>43375</v>
      </c>
      <c r="D555" s="87" t="n">
        <v>2</v>
      </c>
      <c r="E555" s="99" t="n">
        <v>1</v>
      </c>
      <c r="F555" s="104" t="s">
        <v>178</v>
      </c>
      <c r="G555" s="113" t="s">
        <v>719</v>
      </c>
    </row>
    <row r="556" s="105" customFormat="true" ht="18" hidden="false" customHeight="true" outlineLevel="0" collapsed="false">
      <c r="A556" s="96" t="n">
        <v>104</v>
      </c>
      <c r="B556" s="102" t="s">
        <v>126</v>
      </c>
      <c r="C556" s="103" t="n">
        <v>43375</v>
      </c>
      <c r="D556" s="87" t="n">
        <v>2</v>
      </c>
      <c r="E556" s="99" t="n">
        <v>1</v>
      </c>
      <c r="F556" s="104" t="s">
        <v>178</v>
      </c>
      <c r="G556" s="113" t="s">
        <v>720</v>
      </c>
    </row>
    <row r="557" s="105" customFormat="true" ht="18" hidden="false" customHeight="true" outlineLevel="0" collapsed="false">
      <c r="A557" s="96" t="n">
        <v>104</v>
      </c>
      <c r="B557" s="102" t="s">
        <v>126</v>
      </c>
      <c r="C557" s="103" t="n">
        <v>43375</v>
      </c>
      <c r="D557" s="87" t="n">
        <v>1</v>
      </c>
      <c r="E557" s="99" t="n">
        <v>1</v>
      </c>
      <c r="F557" s="104" t="s">
        <v>178</v>
      </c>
      <c r="G557" s="113" t="s">
        <v>721</v>
      </c>
    </row>
    <row r="558" s="105" customFormat="true" ht="18" hidden="false" customHeight="true" outlineLevel="0" collapsed="false">
      <c r="A558" s="96" t="n">
        <v>104</v>
      </c>
      <c r="B558" s="102" t="s">
        <v>126</v>
      </c>
      <c r="C558" s="103" t="n">
        <v>43374</v>
      </c>
      <c r="D558" s="87" t="n">
        <v>1</v>
      </c>
      <c r="E558" s="99" t="n">
        <v>1</v>
      </c>
      <c r="F558" s="104" t="s">
        <v>178</v>
      </c>
      <c r="G558" s="113" t="s">
        <v>722</v>
      </c>
    </row>
    <row r="559" s="105" customFormat="true" ht="18" hidden="false" customHeight="true" outlineLevel="0" collapsed="false">
      <c r="A559" s="96" t="n">
        <v>104</v>
      </c>
      <c r="B559" s="102" t="s">
        <v>126</v>
      </c>
      <c r="C559" s="103" t="n">
        <v>43373</v>
      </c>
      <c r="D559" s="87" t="n">
        <v>1</v>
      </c>
      <c r="E559" s="99" t="n">
        <v>1</v>
      </c>
      <c r="F559" s="104" t="s">
        <v>178</v>
      </c>
      <c r="G559" s="113" t="s">
        <v>723</v>
      </c>
    </row>
    <row r="560" s="105" customFormat="true" ht="18" hidden="false" customHeight="true" outlineLevel="0" collapsed="false">
      <c r="A560" s="96" t="n">
        <v>104</v>
      </c>
      <c r="B560" s="102" t="s">
        <v>126</v>
      </c>
      <c r="C560" s="103" t="n">
        <v>43371</v>
      </c>
      <c r="D560" s="87" t="n">
        <v>1</v>
      </c>
      <c r="E560" s="99" t="n">
        <v>1</v>
      </c>
      <c r="F560" s="104" t="s">
        <v>178</v>
      </c>
      <c r="G560" s="113" t="s">
        <v>724</v>
      </c>
    </row>
    <row r="561" s="105" customFormat="true" ht="18" hidden="false" customHeight="true" outlineLevel="0" collapsed="false">
      <c r="A561" s="96" t="n">
        <v>104</v>
      </c>
      <c r="B561" s="102" t="s">
        <v>126</v>
      </c>
      <c r="C561" s="103" t="n">
        <v>43370</v>
      </c>
      <c r="D561" s="87" t="n">
        <v>1</v>
      </c>
      <c r="E561" s="99" t="n">
        <v>1</v>
      </c>
      <c r="F561" s="104" t="s">
        <v>178</v>
      </c>
      <c r="G561" s="113" t="s">
        <v>725</v>
      </c>
    </row>
    <row r="562" s="105" customFormat="true" ht="18" hidden="false" customHeight="true" outlineLevel="0" collapsed="false">
      <c r="A562" s="96" t="n">
        <v>104</v>
      </c>
      <c r="B562" s="102" t="s">
        <v>126</v>
      </c>
      <c r="C562" s="103" t="n">
        <v>43370</v>
      </c>
      <c r="D562" s="87" t="n">
        <v>1</v>
      </c>
      <c r="E562" s="99" t="n">
        <v>1</v>
      </c>
      <c r="F562" s="104" t="s">
        <v>178</v>
      </c>
      <c r="G562" s="113" t="s">
        <v>726</v>
      </c>
    </row>
    <row r="563" s="105" customFormat="true" ht="18" hidden="false" customHeight="true" outlineLevel="0" collapsed="false">
      <c r="A563" s="96" t="n">
        <v>104</v>
      </c>
      <c r="B563" s="102" t="s">
        <v>126</v>
      </c>
      <c r="C563" s="103" t="n">
        <v>43367</v>
      </c>
      <c r="D563" s="87" t="n">
        <v>1</v>
      </c>
      <c r="E563" s="99" t="n">
        <v>1</v>
      </c>
      <c r="F563" s="104" t="s">
        <v>178</v>
      </c>
      <c r="G563" s="106" t="s">
        <v>727</v>
      </c>
    </row>
    <row r="564" s="105" customFormat="true" ht="18" hidden="false" customHeight="true" outlineLevel="0" collapsed="false">
      <c r="A564" s="96" t="n">
        <v>104</v>
      </c>
      <c r="B564" s="102" t="s">
        <v>126</v>
      </c>
      <c r="C564" s="103" t="n">
        <v>43367</v>
      </c>
      <c r="D564" s="87" t="n">
        <v>1</v>
      </c>
      <c r="E564" s="99" t="n">
        <v>1</v>
      </c>
      <c r="F564" s="104" t="s">
        <v>178</v>
      </c>
      <c r="G564" s="106" t="s">
        <v>728</v>
      </c>
    </row>
    <row r="565" s="105" customFormat="true" ht="18" hidden="false" customHeight="true" outlineLevel="0" collapsed="false">
      <c r="A565" s="96" t="n">
        <v>116</v>
      </c>
      <c r="B565" s="102" t="s">
        <v>138</v>
      </c>
      <c r="C565" s="103" t="n">
        <v>43367</v>
      </c>
      <c r="D565" s="87" t="n">
        <v>1</v>
      </c>
      <c r="E565" s="99" t="n">
        <v>1</v>
      </c>
      <c r="F565" s="104" t="s">
        <v>178</v>
      </c>
      <c r="G565" s="106" t="s">
        <v>729</v>
      </c>
    </row>
    <row r="566" s="105" customFormat="true" ht="18" hidden="false" customHeight="true" outlineLevel="0" collapsed="false">
      <c r="A566" s="96" t="n">
        <v>104</v>
      </c>
      <c r="B566" s="102" t="s">
        <v>126</v>
      </c>
      <c r="C566" s="103" t="n">
        <v>43367</v>
      </c>
      <c r="D566" s="87" t="n">
        <v>1</v>
      </c>
      <c r="E566" s="99" t="n">
        <v>1</v>
      </c>
      <c r="F566" s="104" t="s">
        <v>178</v>
      </c>
      <c r="G566" s="106" t="s">
        <v>730</v>
      </c>
    </row>
    <row r="567" s="105" customFormat="true" ht="18" hidden="false" customHeight="true" outlineLevel="0" collapsed="false">
      <c r="A567" s="96" t="n">
        <v>104</v>
      </c>
      <c r="B567" s="102" t="s">
        <v>126</v>
      </c>
      <c r="C567" s="103" t="n">
        <v>43364</v>
      </c>
      <c r="D567" s="87" t="n">
        <v>1</v>
      </c>
      <c r="E567" s="99" t="n">
        <v>1</v>
      </c>
      <c r="F567" s="104" t="s">
        <v>178</v>
      </c>
      <c r="G567" s="106" t="s">
        <v>731</v>
      </c>
    </row>
    <row r="568" s="105" customFormat="true" ht="18" hidden="false" customHeight="true" outlineLevel="0" collapsed="false">
      <c r="A568" s="96" t="n">
        <v>107</v>
      </c>
      <c r="B568" s="102" t="s">
        <v>129</v>
      </c>
      <c r="C568" s="103" t="n">
        <v>43364</v>
      </c>
      <c r="D568" s="87" t="n">
        <v>1</v>
      </c>
      <c r="E568" s="99" t="n">
        <v>1</v>
      </c>
      <c r="F568" s="104" t="s">
        <v>178</v>
      </c>
      <c r="G568" s="106" t="s">
        <v>732</v>
      </c>
    </row>
    <row r="569" s="105" customFormat="true" ht="18" hidden="false" customHeight="true" outlineLevel="0" collapsed="false">
      <c r="A569" s="96" t="n">
        <v>104</v>
      </c>
      <c r="B569" s="102" t="s">
        <v>126</v>
      </c>
      <c r="C569" s="103" t="n">
        <v>43364</v>
      </c>
      <c r="D569" s="87" t="n">
        <v>1</v>
      </c>
      <c r="E569" s="99" t="n">
        <v>1</v>
      </c>
      <c r="F569" s="104" t="s">
        <v>178</v>
      </c>
      <c r="G569" s="106" t="s">
        <v>733</v>
      </c>
    </row>
    <row r="570" s="105" customFormat="true" ht="18" hidden="false" customHeight="true" outlineLevel="0" collapsed="false">
      <c r="A570" s="96" t="n">
        <v>104</v>
      </c>
      <c r="B570" s="102" t="s">
        <v>126</v>
      </c>
      <c r="C570" s="103" t="n">
        <v>43364</v>
      </c>
      <c r="D570" s="87" t="n">
        <v>1</v>
      </c>
      <c r="E570" s="99" t="n">
        <v>1</v>
      </c>
      <c r="F570" s="104" t="s">
        <v>178</v>
      </c>
      <c r="G570" s="106" t="s">
        <v>734</v>
      </c>
    </row>
    <row r="571" s="105" customFormat="true" ht="18" hidden="false" customHeight="true" outlineLevel="0" collapsed="false">
      <c r="A571" s="96" t="n">
        <v>104</v>
      </c>
      <c r="B571" s="102" t="s">
        <v>126</v>
      </c>
      <c r="C571" s="103" t="n">
        <v>43363</v>
      </c>
      <c r="D571" s="87" t="n">
        <v>1</v>
      </c>
      <c r="E571" s="99" t="n">
        <v>1</v>
      </c>
      <c r="F571" s="104" t="s">
        <v>178</v>
      </c>
      <c r="G571" s="106" t="s">
        <v>735</v>
      </c>
    </row>
    <row r="572" s="105" customFormat="true" ht="18" hidden="false" customHeight="true" outlineLevel="0" collapsed="false">
      <c r="A572" s="96" t="n">
        <v>104</v>
      </c>
      <c r="B572" s="102" t="s">
        <v>126</v>
      </c>
      <c r="C572" s="103" t="n">
        <v>43364</v>
      </c>
      <c r="D572" s="87" t="n">
        <v>1</v>
      </c>
      <c r="E572" s="99" t="n">
        <v>1</v>
      </c>
      <c r="F572" s="104" t="s">
        <v>178</v>
      </c>
      <c r="G572" s="106" t="s">
        <v>736</v>
      </c>
    </row>
    <row r="573" s="105" customFormat="true" ht="18" hidden="false" customHeight="true" outlineLevel="0" collapsed="false">
      <c r="A573" s="96" t="n">
        <v>104</v>
      </c>
      <c r="B573" s="102" t="s">
        <v>126</v>
      </c>
      <c r="C573" s="103" t="n">
        <v>43363</v>
      </c>
      <c r="D573" s="87" t="n">
        <v>1</v>
      </c>
      <c r="E573" s="99" t="n">
        <v>1</v>
      </c>
      <c r="F573" s="104" t="s">
        <v>178</v>
      </c>
      <c r="G573" s="106" t="s">
        <v>737</v>
      </c>
    </row>
    <row r="574" s="105" customFormat="true" ht="18" hidden="false" customHeight="true" outlineLevel="0" collapsed="false">
      <c r="A574" s="96" t="n">
        <v>104</v>
      </c>
      <c r="B574" s="102" t="s">
        <v>126</v>
      </c>
      <c r="C574" s="103" t="n">
        <v>43362</v>
      </c>
      <c r="D574" s="87" t="n">
        <v>1</v>
      </c>
      <c r="E574" s="99" t="n">
        <v>1</v>
      </c>
      <c r="F574" s="104" t="s">
        <v>178</v>
      </c>
      <c r="G574" s="106" t="s">
        <v>738</v>
      </c>
    </row>
    <row r="575" s="105" customFormat="true" ht="18" hidden="false" customHeight="true" outlineLevel="0" collapsed="false">
      <c r="A575" s="96" t="n">
        <v>104</v>
      </c>
      <c r="B575" s="102" t="s">
        <v>126</v>
      </c>
      <c r="C575" s="103" t="n">
        <v>43362</v>
      </c>
      <c r="D575" s="87" t="n">
        <v>1</v>
      </c>
      <c r="E575" s="99" t="n">
        <v>1</v>
      </c>
      <c r="F575" s="104" t="s">
        <v>178</v>
      </c>
      <c r="G575" s="106" t="s">
        <v>739</v>
      </c>
    </row>
    <row r="576" s="105" customFormat="true" ht="18" hidden="false" customHeight="true" outlineLevel="0" collapsed="false">
      <c r="A576" s="96" t="n">
        <v>104</v>
      </c>
      <c r="B576" s="102" t="s">
        <v>126</v>
      </c>
      <c r="C576" s="103" t="n">
        <v>43362</v>
      </c>
      <c r="D576" s="87" t="n">
        <v>1</v>
      </c>
      <c r="E576" s="99" t="n">
        <v>1</v>
      </c>
      <c r="F576" s="104" t="s">
        <v>178</v>
      </c>
      <c r="G576" s="106" t="s">
        <v>740</v>
      </c>
    </row>
    <row r="577" s="105" customFormat="true" ht="18" hidden="false" customHeight="true" outlineLevel="0" collapsed="false">
      <c r="A577" s="96" t="n">
        <v>104</v>
      </c>
      <c r="B577" s="102" t="s">
        <v>126</v>
      </c>
      <c r="C577" s="103" t="n">
        <v>43361</v>
      </c>
      <c r="D577" s="87" t="n">
        <v>1</v>
      </c>
      <c r="E577" s="99" t="n">
        <v>1</v>
      </c>
      <c r="F577" s="104" t="s">
        <v>178</v>
      </c>
      <c r="G577" s="106" t="s">
        <v>741</v>
      </c>
    </row>
    <row r="578" s="105" customFormat="true" ht="18" hidden="false" customHeight="true" outlineLevel="0" collapsed="false">
      <c r="A578" s="96" t="n">
        <v>104</v>
      </c>
      <c r="B578" s="102" t="s">
        <v>126</v>
      </c>
      <c r="C578" s="103" t="n">
        <v>43361</v>
      </c>
      <c r="D578" s="87" t="n">
        <v>1</v>
      </c>
      <c r="E578" s="99" t="n">
        <v>1</v>
      </c>
      <c r="F578" s="104" t="s">
        <v>178</v>
      </c>
      <c r="G578" s="106" t="s">
        <v>742</v>
      </c>
    </row>
    <row r="579" s="105" customFormat="true" ht="18" hidden="false" customHeight="true" outlineLevel="0" collapsed="false">
      <c r="A579" s="96" t="n">
        <v>104</v>
      </c>
      <c r="B579" s="102" t="s">
        <v>126</v>
      </c>
      <c r="C579" s="103" t="n">
        <v>43361</v>
      </c>
      <c r="D579" s="87" t="n">
        <v>1</v>
      </c>
      <c r="E579" s="99" t="n">
        <v>1</v>
      </c>
      <c r="F579" s="104" t="s">
        <v>178</v>
      </c>
      <c r="G579" s="106" t="s">
        <v>743</v>
      </c>
    </row>
    <row r="580" s="105" customFormat="true" ht="18" hidden="false" customHeight="true" outlineLevel="0" collapsed="false">
      <c r="A580" s="96" t="n">
        <v>104</v>
      </c>
      <c r="B580" s="102" t="s">
        <v>126</v>
      </c>
      <c r="C580" s="103" t="n">
        <v>43361</v>
      </c>
      <c r="D580" s="87" t="n">
        <v>1</v>
      </c>
      <c r="E580" s="99" t="n">
        <v>1</v>
      </c>
      <c r="F580" s="104" t="s">
        <v>178</v>
      </c>
      <c r="G580" s="106" t="s">
        <v>744</v>
      </c>
    </row>
    <row r="581" s="105" customFormat="true" ht="18" hidden="false" customHeight="true" outlineLevel="0" collapsed="false">
      <c r="A581" s="96" t="n">
        <v>104</v>
      </c>
      <c r="B581" s="102" t="s">
        <v>126</v>
      </c>
      <c r="C581" s="103" t="n">
        <v>43360</v>
      </c>
      <c r="D581" s="87" t="n">
        <v>1</v>
      </c>
      <c r="E581" s="99" t="n">
        <v>1</v>
      </c>
      <c r="F581" s="104" t="s">
        <v>178</v>
      </c>
      <c r="G581" s="106" t="s">
        <v>745</v>
      </c>
    </row>
    <row r="582" s="105" customFormat="true" ht="18" hidden="false" customHeight="true" outlineLevel="0" collapsed="false">
      <c r="A582" s="96" t="n">
        <v>107</v>
      </c>
      <c r="B582" s="102" t="s">
        <v>129</v>
      </c>
      <c r="C582" s="103" t="n">
        <v>43359</v>
      </c>
      <c r="D582" s="87" t="n">
        <v>1</v>
      </c>
      <c r="E582" s="99" t="n">
        <v>1</v>
      </c>
      <c r="F582" s="104" t="s">
        <v>178</v>
      </c>
      <c r="G582" s="106" t="s">
        <v>746</v>
      </c>
    </row>
    <row r="583" s="105" customFormat="true" ht="18" hidden="false" customHeight="true" outlineLevel="0" collapsed="false">
      <c r="A583" s="96" t="n">
        <v>116</v>
      </c>
      <c r="B583" s="102" t="s">
        <v>138</v>
      </c>
      <c r="C583" s="103" t="n">
        <v>43357</v>
      </c>
      <c r="D583" s="87" t="n">
        <v>1</v>
      </c>
      <c r="E583" s="99" t="n">
        <v>1</v>
      </c>
      <c r="F583" s="104" t="s">
        <v>178</v>
      </c>
      <c r="G583" s="106" t="s">
        <v>747</v>
      </c>
    </row>
    <row r="584" s="105" customFormat="true" ht="18" hidden="false" customHeight="true" outlineLevel="0" collapsed="false">
      <c r="A584" s="96" t="n">
        <v>106</v>
      </c>
      <c r="B584" s="102" t="s">
        <v>128</v>
      </c>
      <c r="C584" s="103" t="n">
        <v>43356</v>
      </c>
      <c r="D584" s="87" t="n">
        <v>1</v>
      </c>
      <c r="E584" s="99" t="n">
        <v>1</v>
      </c>
      <c r="F584" s="104" t="s">
        <v>178</v>
      </c>
      <c r="G584" s="106" t="s">
        <v>748</v>
      </c>
    </row>
    <row r="585" s="105" customFormat="true" ht="18" hidden="false" customHeight="true" outlineLevel="0" collapsed="false">
      <c r="A585" s="96" t="n">
        <v>114</v>
      </c>
      <c r="B585" s="102" t="s">
        <v>136</v>
      </c>
      <c r="C585" s="103" t="n">
        <v>43356</v>
      </c>
      <c r="D585" s="87" t="n">
        <v>1</v>
      </c>
      <c r="E585" s="99" t="n">
        <v>1</v>
      </c>
      <c r="F585" s="104" t="s">
        <v>178</v>
      </c>
      <c r="G585" s="106" t="s">
        <v>749</v>
      </c>
    </row>
    <row r="586" s="105" customFormat="true" ht="18" hidden="false" customHeight="true" outlineLevel="0" collapsed="false">
      <c r="A586" s="96" t="n">
        <v>104</v>
      </c>
      <c r="B586" s="102" t="s">
        <v>126</v>
      </c>
      <c r="C586" s="103" t="n">
        <v>43355</v>
      </c>
      <c r="D586" s="87" t="n">
        <v>1</v>
      </c>
      <c r="E586" s="99" t="n">
        <v>1</v>
      </c>
      <c r="F586" s="104" t="s">
        <v>178</v>
      </c>
      <c r="G586" s="108" t="s">
        <v>750</v>
      </c>
    </row>
    <row r="587" s="105" customFormat="true" ht="18" hidden="false" customHeight="true" outlineLevel="0" collapsed="false">
      <c r="A587" s="96" t="n">
        <v>104</v>
      </c>
      <c r="B587" s="102" t="s">
        <v>126</v>
      </c>
      <c r="C587" s="103" t="n">
        <v>43355</v>
      </c>
      <c r="D587" s="87" t="n">
        <v>1</v>
      </c>
      <c r="E587" s="99" t="n">
        <v>1</v>
      </c>
      <c r="F587" s="104" t="s">
        <v>178</v>
      </c>
      <c r="G587" s="114" t="s">
        <v>751</v>
      </c>
    </row>
    <row r="588" s="105" customFormat="true" ht="18" hidden="false" customHeight="true" outlineLevel="0" collapsed="false">
      <c r="A588" s="96" t="n">
        <v>104</v>
      </c>
      <c r="B588" s="102" t="s">
        <v>126</v>
      </c>
      <c r="C588" s="103" t="n">
        <v>43355</v>
      </c>
      <c r="D588" s="87" t="n">
        <v>1</v>
      </c>
      <c r="E588" s="99" t="n">
        <v>1</v>
      </c>
      <c r="F588" s="104" t="s">
        <v>178</v>
      </c>
      <c r="G588" s="108" t="s">
        <v>752</v>
      </c>
    </row>
    <row r="589" s="105" customFormat="true" ht="18" hidden="false" customHeight="true" outlineLevel="0" collapsed="false">
      <c r="A589" s="96" t="n">
        <v>115</v>
      </c>
      <c r="B589" s="102" t="s">
        <v>137</v>
      </c>
      <c r="C589" s="103" t="n">
        <v>43354</v>
      </c>
      <c r="D589" s="87" t="n">
        <v>1</v>
      </c>
      <c r="E589" s="99" t="n">
        <v>1</v>
      </c>
      <c r="F589" s="104" t="s">
        <v>178</v>
      </c>
      <c r="G589" s="108" t="s">
        <v>753</v>
      </c>
    </row>
    <row r="590" s="105" customFormat="true" ht="18" hidden="false" customHeight="true" outlineLevel="0" collapsed="false">
      <c r="A590" s="96" t="n">
        <v>104</v>
      </c>
      <c r="B590" s="102" t="s">
        <v>126</v>
      </c>
      <c r="C590" s="103" t="n">
        <v>43353</v>
      </c>
      <c r="D590" s="87" t="n">
        <v>1</v>
      </c>
      <c r="E590" s="99" t="n">
        <v>1</v>
      </c>
      <c r="F590" s="104" t="s">
        <v>178</v>
      </c>
      <c r="G590" s="106" t="s">
        <v>754</v>
      </c>
    </row>
    <row r="591" s="105" customFormat="true" ht="18" hidden="false" customHeight="true" outlineLevel="0" collapsed="false">
      <c r="A591" s="96" t="n">
        <v>104</v>
      </c>
      <c r="B591" s="102" t="s">
        <v>126</v>
      </c>
      <c r="C591" s="103" t="n">
        <v>43350</v>
      </c>
      <c r="D591" s="87" t="n">
        <v>1</v>
      </c>
      <c r="E591" s="99" t="n">
        <v>1</v>
      </c>
      <c r="F591" s="104" t="s">
        <v>178</v>
      </c>
      <c r="G591" s="106" t="s">
        <v>755</v>
      </c>
    </row>
    <row r="592" s="105" customFormat="true" ht="18" hidden="false" customHeight="true" outlineLevel="0" collapsed="false">
      <c r="A592" s="96" t="n">
        <v>104</v>
      </c>
      <c r="B592" s="102" t="s">
        <v>126</v>
      </c>
      <c r="C592" s="103" t="n">
        <v>43353</v>
      </c>
      <c r="D592" s="87" t="n">
        <v>1</v>
      </c>
      <c r="E592" s="99" t="n">
        <v>1</v>
      </c>
      <c r="F592" s="104" t="s">
        <v>178</v>
      </c>
      <c r="G592" s="106" t="s">
        <v>756</v>
      </c>
    </row>
    <row r="593" s="105" customFormat="true" ht="18" hidden="false" customHeight="true" outlineLevel="0" collapsed="false">
      <c r="A593" s="96" t="n">
        <v>104</v>
      </c>
      <c r="B593" s="102" t="s">
        <v>126</v>
      </c>
      <c r="C593" s="103" t="n">
        <v>43351</v>
      </c>
      <c r="D593" s="87" t="n">
        <v>1</v>
      </c>
      <c r="E593" s="99" t="n">
        <v>1</v>
      </c>
      <c r="F593" s="104" t="s">
        <v>178</v>
      </c>
      <c r="G593" s="106" t="s">
        <v>757</v>
      </c>
    </row>
    <row r="594" s="105" customFormat="true" ht="18" hidden="false" customHeight="true" outlineLevel="0" collapsed="false">
      <c r="A594" s="96" t="n">
        <v>104</v>
      </c>
      <c r="B594" s="102" t="s">
        <v>126</v>
      </c>
      <c r="C594" s="103" t="n">
        <v>43349</v>
      </c>
      <c r="D594" s="87" t="n">
        <v>1</v>
      </c>
      <c r="E594" s="99" t="n">
        <v>1</v>
      </c>
      <c r="F594" s="104" t="s">
        <v>178</v>
      </c>
      <c r="G594" s="106" t="s">
        <v>758</v>
      </c>
    </row>
    <row r="595" s="105" customFormat="true" ht="18" hidden="false" customHeight="true" outlineLevel="0" collapsed="false">
      <c r="A595" s="96" t="n">
        <v>107</v>
      </c>
      <c r="B595" s="102" t="s">
        <v>129</v>
      </c>
      <c r="C595" s="103" t="n">
        <v>43349</v>
      </c>
      <c r="D595" s="87" t="n">
        <v>1</v>
      </c>
      <c r="E595" s="99" t="n">
        <v>1</v>
      </c>
      <c r="F595" s="104" t="s">
        <v>178</v>
      </c>
      <c r="G595" s="106" t="s">
        <v>759</v>
      </c>
    </row>
    <row r="596" s="105" customFormat="true" ht="18" hidden="false" customHeight="true" outlineLevel="0" collapsed="false">
      <c r="A596" s="96" t="n">
        <v>104</v>
      </c>
      <c r="B596" s="102" t="s">
        <v>126</v>
      </c>
      <c r="C596" s="103" t="n">
        <v>43347</v>
      </c>
      <c r="D596" s="87" t="n">
        <v>1</v>
      </c>
      <c r="E596" s="99" t="n">
        <v>1</v>
      </c>
      <c r="F596" s="104" t="s">
        <v>178</v>
      </c>
      <c r="G596" s="106" t="s">
        <v>760</v>
      </c>
    </row>
    <row r="597" s="105" customFormat="true" ht="18" hidden="false" customHeight="true" outlineLevel="0" collapsed="false">
      <c r="A597" s="96" t="n">
        <v>104</v>
      </c>
      <c r="B597" s="102" t="s">
        <v>126</v>
      </c>
      <c r="C597" s="103" t="n">
        <v>43345</v>
      </c>
      <c r="D597" s="87" t="n">
        <v>1</v>
      </c>
      <c r="E597" s="99" t="n">
        <v>1</v>
      </c>
      <c r="F597" s="104" t="s">
        <v>178</v>
      </c>
      <c r="G597" s="106" t="s">
        <v>761</v>
      </c>
    </row>
    <row r="598" s="105" customFormat="true" ht="18" hidden="false" customHeight="true" outlineLevel="0" collapsed="false">
      <c r="A598" s="96" t="n">
        <v>104</v>
      </c>
      <c r="B598" s="102" t="s">
        <v>126</v>
      </c>
      <c r="C598" s="103" t="n">
        <v>43346</v>
      </c>
      <c r="D598" s="87" t="n">
        <v>1</v>
      </c>
      <c r="E598" s="99" t="n">
        <v>1</v>
      </c>
      <c r="F598" s="104" t="s">
        <v>178</v>
      </c>
      <c r="G598" s="113" t="s">
        <v>762</v>
      </c>
    </row>
    <row r="599" s="105" customFormat="true" ht="18" hidden="false" customHeight="true" outlineLevel="0" collapsed="false">
      <c r="A599" s="96" t="n">
        <v>104</v>
      </c>
      <c r="B599" s="102" t="s">
        <v>126</v>
      </c>
      <c r="C599" s="103" t="n">
        <v>43345</v>
      </c>
      <c r="D599" s="87" t="n">
        <v>1</v>
      </c>
      <c r="E599" s="99" t="n">
        <v>1</v>
      </c>
      <c r="F599" s="104" t="s">
        <v>178</v>
      </c>
      <c r="G599" s="106" t="s">
        <v>763</v>
      </c>
    </row>
    <row r="600" s="105" customFormat="true" ht="18" hidden="false" customHeight="true" outlineLevel="0" collapsed="false">
      <c r="A600" s="96" t="n">
        <v>104</v>
      </c>
      <c r="B600" s="102" t="s">
        <v>126</v>
      </c>
      <c r="C600" s="103" t="n">
        <v>43344</v>
      </c>
      <c r="D600" s="87" t="n">
        <v>1</v>
      </c>
      <c r="E600" s="99" t="n">
        <v>1</v>
      </c>
      <c r="F600" s="104" t="s">
        <v>178</v>
      </c>
      <c r="G600" s="113" t="s">
        <v>764</v>
      </c>
    </row>
    <row r="601" s="105" customFormat="true" ht="18" hidden="false" customHeight="true" outlineLevel="0" collapsed="false">
      <c r="A601" s="96" t="n">
        <v>104</v>
      </c>
      <c r="B601" s="102" t="s">
        <v>126</v>
      </c>
      <c r="C601" s="103" t="n">
        <v>43344</v>
      </c>
      <c r="D601" s="87" t="n">
        <v>1</v>
      </c>
      <c r="E601" s="99" t="n">
        <v>1</v>
      </c>
      <c r="F601" s="104" t="s">
        <v>178</v>
      </c>
      <c r="G601" s="106" t="s">
        <v>765</v>
      </c>
    </row>
    <row r="602" s="105" customFormat="true" ht="18" hidden="false" customHeight="true" outlineLevel="0" collapsed="false">
      <c r="A602" s="96" t="n">
        <v>104</v>
      </c>
      <c r="B602" s="102" t="s">
        <v>126</v>
      </c>
      <c r="C602" s="103" t="n">
        <v>43347</v>
      </c>
      <c r="D602" s="87" t="n">
        <v>1</v>
      </c>
      <c r="E602" s="99" t="n">
        <v>1</v>
      </c>
      <c r="F602" s="104" t="s">
        <v>178</v>
      </c>
      <c r="G602" s="113" t="s">
        <v>766</v>
      </c>
    </row>
    <row r="603" s="105" customFormat="true" ht="18" hidden="false" customHeight="true" outlineLevel="0" collapsed="false">
      <c r="A603" s="96" t="n">
        <v>104</v>
      </c>
      <c r="B603" s="102" t="s">
        <v>126</v>
      </c>
      <c r="C603" s="103" t="n">
        <v>43346</v>
      </c>
      <c r="D603" s="87" t="n">
        <v>1</v>
      </c>
      <c r="E603" s="99" t="n">
        <v>1</v>
      </c>
      <c r="F603" s="104" t="s">
        <v>178</v>
      </c>
      <c r="G603" s="106" t="s">
        <v>767</v>
      </c>
    </row>
    <row r="604" s="105" customFormat="true" ht="18" hidden="false" customHeight="true" outlineLevel="0" collapsed="false">
      <c r="A604" s="96" t="n">
        <v>108</v>
      </c>
      <c r="B604" s="102" t="s">
        <v>130</v>
      </c>
      <c r="C604" s="103" t="n">
        <v>43346</v>
      </c>
      <c r="D604" s="87" t="n">
        <v>1</v>
      </c>
      <c r="E604" s="99" t="n">
        <v>1</v>
      </c>
      <c r="F604" s="104" t="s">
        <v>178</v>
      </c>
      <c r="G604" s="113" t="s">
        <v>768</v>
      </c>
    </row>
    <row r="605" s="105" customFormat="true" ht="18" hidden="false" customHeight="true" outlineLevel="0" collapsed="false">
      <c r="A605" s="96" t="n">
        <v>105</v>
      </c>
      <c r="B605" s="102" t="s">
        <v>127</v>
      </c>
      <c r="C605" s="103" t="n">
        <v>43346</v>
      </c>
      <c r="D605" s="87" t="n">
        <v>1</v>
      </c>
      <c r="E605" s="99" t="n">
        <v>1</v>
      </c>
      <c r="F605" s="104" t="s">
        <v>178</v>
      </c>
      <c r="G605" s="106" t="s">
        <v>768</v>
      </c>
    </row>
    <row r="606" s="105" customFormat="true" ht="18" hidden="false" customHeight="true" outlineLevel="0" collapsed="false">
      <c r="A606" s="96" t="n">
        <v>104</v>
      </c>
      <c r="B606" s="102" t="s">
        <v>126</v>
      </c>
      <c r="C606" s="103" t="n">
        <v>43346</v>
      </c>
      <c r="D606" s="87" t="n">
        <v>1</v>
      </c>
      <c r="E606" s="99" t="n">
        <v>1</v>
      </c>
      <c r="F606" s="104" t="s">
        <v>178</v>
      </c>
      <c r="G606" s="113" t="s">
        <v>769</v>
      </c>
    </row>
    <row r="607" s="105" customFormat="true" ht="18" hidden="false" customHeight="true" outlineLevel="0" collapsed="false">
      <c r="A607" s="96" t="n">
        <v>104</v>
      </c>
      <c r="B607" s="102" t="s">
        <v>126</v>
      </c>
      <c r="C607" s="103" t="n">
        <v>43343</v>
      </c>
      <c r="D607" s="87" t="n">
        <v>1</v>
      </c>
      <c r="E607" s="99" t="n">
        <v>1</v>
      </c>
      <c r="F607" s="104" t="s">
        <v>178</v>
      </c>
      <c r="G607" s="106" t="s">
        <v>770</v>
      </c>
    </row>
    <row r="608" s="105" customFormat="true" ht="18" hidden="false" customHeight="true" outlineLevel="0" collapsed="false">
      <c r="A608" s="96" t="n">
        <v>116</v>
      </c>
      <c r="B608" s="102" t="s">
        <v>138</v>
      </c>
      <c r="C608" s="103" t="n">
        <v>43343</v>
      </c>
      <c r="D608" s="87" t="n">
        <v>1</v>
      </c>
      <c r="E608" s="99" t="n">
        <v>1</v>
      </c>
      <c r="F608" s="104" t="s">
        <v>178</v>
      </c>
      <c r="G608" s="113" t="s">
        <v>771</v>
      </c>
    </row>
    <row r="609" s="105" customFormat="true" ht="18" hidden="false" customHeight="true" outlineLevel="0" collapsed="false">
      <c r="A609" s="96" t="n">
        <v>104</v>
      </c>
      <c r="B609" s="102" t="s">
        <v>126</v>
      </c>
      <c r="C609" s="103" t="n">
        <v>43342</v>
      </c>
      <c r="D609" s="87" t="n">
        <v>1</v>
      </c>
      <c r="E609" s="99" t="n">
        <v>1</v>
      </c>
      <c r="F609" s="104" t="s">
        <v>178</v>
      </c>
      <c r="G609" s="106" t="s">
        <v>772</v>
      </c>
    </row>
    <row r="610" s="105" customFormat="true" ht="18" hidden="false" customHeight="true" outlineLevel="0" collapsed="false">
      <c r="A610" s="96" t="n">
        <v>104</v>
      </c>
      <c r="B610" s="102" t="s">
        <v>126</v>
      </c>
      <c r="C610" s="103" t="n">
        <v>43341</v>
      </c>
      <c r="D610" s="87" t="n">
        <v>1</v>
      </c>
      <c r="E610" s="99" t="n">
        <v>1</v>
      </c>
      <c r="F610" s="104" t="s">
        <v>178</v>
      </c>
      <c r="G610" s="113" t="s">
        <v>773</v>
      </c>
    </row>
    <row r="611" s="105" customFormat="true" ht="18" hidden="false" customHeight="true" outlineLevel="0" collapsed="false">
      <c r="A611" s="96" t="n">
        <v>104</v>
      </c>
      <c r="B611" s="102" t="s">
        <v>126</v>
      </c>
      <c r="C611" s="103" t="n">
        <v>43340</v>
      </c>
      <c r="D611" s="87" t="n">
        <v>1</v>
      </c>
      <c r="E611" s="99" t="n">
        <v>1</v>
      </c>
      <c r="F611" s="104" t="s">
        <v>178</v>
      </c>
      <c r="G611" s="108" t="s">
        <v>774</v>
      </c>
    </row>
    <row r="612" s="105" customFormat="true" ht="18" hidden="false" customHeight="true" outlineLevel="0" collapsed="false">
      <c r="A612" s="96" t="n">
        <v>104</v>
      </c>
      <c r="B612" s="102" t="s">
        <v>126</v>
      </c>
      <c r="C612" s="103" t="n">
        <v>43340</v>
      </c>
      <c r="D612" s="87" t="n">
        <v>1</v>
      </c>
      <c r="E612" s="99" t="n">
        <v>1</v>
      </c>
      <c r="F612" s="104" t="s">
        <v>178</v>
      </c>
      <c r="G612" s="112" t="s">
        <v>775</v>
      </c>
    </row>
    <row r="613" s="105" customFormat="true" ht="18" hidden="false" customHeight="true" outlineLevel="0" collapsed="false">
      <c r="A613" s="96" t="n">
        <v>104</v>
      </c>
      <c r="B613" s="102" t="s">
        <v>126</v>
      </c>
      <c r="C613" s="103" t="n">
        <v>43340</v>
      </c>
      <c r="D613" s="87" t="n">
        <v>2</v>
      </c>
      <c r="E613" s="99" t="n">
        <v>1</v>
      </c>
      <c r="F613" s="104" t="s">
        <v>178</v>
      </c>
      <c r="G613" s="112" t="s">
        <v>776</v>
      </c>
    </row>
    <row r="614" s="105" customFormat="true" ht="18" hidden="false" customHeight="true" outlineLevel="0" collapsed="false">
      <c r="A614" s="96" t="n">
        <v>104</v>
      </c>
      <c r="B614" s="102" t="s">
        <v>126</v>
      </c>
      <c r="C614" s="103" t="n">
        <v>43340</v>
      </c>
      <c r="D614" s="87" t="n">
        <v>1</v>
      </c>
      <c r="E614" s="99" t="n">
        <v>1</v>
      </c>
      <c r="F614" s="104" t="s">
        <v>178</v>
      </c>
      <c r="G614" s="112" t="s">
        <v>777</v>
      </c>
    </row>
    <row r="615" s="105" customFormat="true" ht="18" hidden="false" customHeight="true" outlineLevel="0" collapsed="false">
      <c r="A615" s="96" t="n">
        <v>104</v>
      </c>
      <c r="B615" s="102" t="s">
        <v>126</v>
      </c>
      <c r="C615" s="103" t="n">
        <v>43339</v>
      </c>
      <c r="D615" s="87" t="n">
        <v>1</v>
      </c>
      <c r="E615" s="99" t="n">
        <v>1</v>
      </c>
      <c r="F615" s="104" t="s">
        <v>178</v>
      </c>
      <c r="G615" s="112" t="s">
        <v>778</v>
      </c>
    </row>
    <row r="616" s="105" customFormat="true" ht="18" hidden="false" customHeight="true" outlineLevel="0" collapsed="false">
      <c r="A616" s="96" t="n">
        <v>104</v>
      </c>
      <c r="B616" s="102" t="s">
        <v>126</v>
      </c>
      <c r="C616" s="103" t="n">
        <v>43339</v>
      </c>
      <c r="D616" s="87" t="n">
        <v>1</v>
      </c>
      <c r="E616" s="99" t="n">
        <v>1</v>
      </c>
      <c r="F616" s="104" t="s">
        <v>178</v>
      </c>
      <c r="G616" s="112" t="s">
        <v>779</v>
      </c>
    </row>
    <row r="617" s="105" customFormat="true" ht="18" hidden="false" customHeight="true" outlineLevel="0" collapsed="false">
      <c r="A617" s="96" t="n">
        <v>104</v>
      </c>
      <c r="B617" s="102" t="s">
        <v>126</v>
      </c>
      <c r="C617" s="103" t="n">
        <v>43337</v>
      </c>
      <c r="D617" s="87" t="n">
        <v>1</v>
      </c>
      <c r="E617" s="99" t="n">
        <v>1</v>
      </c>
      <c r="F617" s="104" t="s">
        <v>178</v>
      </c>
      <c r="G617" s="112" t="s">
        <v>780</v>
      </c>
    </row>
    <row r="618" s="105" customFormat="true" ht="18" hidden="false" customHeight="true" outlineLevel="0" collapsed="false">
      <c r="A618" s="96" t="n">
        <v>104</v>
      </c>
      <c r="B618" s="102" t="s">
        <v>126</v>
      </c>
      <c r="C618" s="103" t="n">
        <v>43337</v>
      </c>
      <c r="D618" s="87" t="n">
        <v>1</v>
      </c>
      <c r="E618" s="99" t="n">
        <v>1</v>
      </c>
      <c r="F618" s="104" t="s">
        <v>178</v>
      </c>
      <c r="G618" s="112" t="s">
        <v>781</v>
      </c>
    </row>
    <row r="619" s="105" customFormat="true" ht="18" hidden="false" customHeight="true" outlineLevel="0" collapsed="false">
      <c r="A619" s="96" t="n">
        <v>104</v>
      </c>
      <c r="B619" s="102" t="s">
        <v>126</v>
      </c>
      <c r="C619" s="103" t="n">
        <v>43336</v>
      </c>
      <c r="D619" s="87" t="n">
        <v>1</v>
      </c>
      <c r="E619" s="99" t="n">
        <v>1</v>
      </c>
      <c r="F619" s="104" t="s">
        <v>178</v>
      </c>
      <c r="G619" s="112" t="s">
        <v>782</v>
      </c>
    </row>
    <row r="620" s="105" customFormat="true" ht="18" hidden="false" customHeight="true" outlineLevel="0" collapsed="false">
      <c r="A620" s="96" t="n">
        <v>104</v>
      </c>
      <c r="B620" s="102" t="s">
        <v>126</v>
      </c>
      <c r="C620" s="103" t="n">
        <v>43336</v>
      </c>
      <c r="D620" s="87" t="n">
        <v>1</v>
      </c>
      <c r="E620" s="99" t="n">
        <v>1</v>
      </c>
      <c r="F620" s="104" t="s">
        <v>178</v>
      </c>
      <c r="G620" s="112" t="s">
        <v>783</v>
      </c>
    </row>
    <row r="621" s="105" customFormat="true" ht="18" hidden="false" customHeight="true" outlineLevel="0" collapsed="false">
      <c r="A621" s="96" t="n">
        <v>104</v>
      </c>
      <c r="B621" s="102" t="s">
        <v>126</v>
      </c>
      <c r="C621" s="103" t="n">
        <v>43335</v>
      </c>
      <c r="D621" s="87" t="n">
        <v>1</v>
      </c>
      <c r="E621" s="99" t="n">
        <v>1</v>
      </c>
      <c r="F621" s="104" t="s">
        <v>178</v>
      </c>
      <c r="G621" s="112" t="s">
        <v>784</v>
      </c>
    </row>
    <row r="622" s="105" customFormat="true" ht="18" hidden="false" customHeight="true" outlineLevel="0" collapsed="false">
      <c r="A622" s="96" t="n">
        <v>104</v>
      </c>
      <c r="B622" s="102" t="s">
        <v>126</v>
      </c>
      <c r="C622" s="103" t="n">
        <v>43334</v>
      </c>
      <c r="D622" s="87" t="n">
        <v>1</v>
      </c>
      <c r="E622" s="99" t="n">
        <v>1</v>
      </c>
      <c r="F622" s="104" t="s">
        <v>178</v>
      </c>
      <c r="G622" s="112" t="s">
        <v>785</v>
      </c>
    </row>
    <row r="623" s="105" customFormat="true" ht="18" hidden="false" customHeight="true" outlineLevel="0" collapsed="false">
      <c r="A623" s="96" t="n">
        <v>104</v>
      </c>
      <c r="B623" s="102" t="s">
        <v>126</v>
      </c>
      <c r="C623" s="103" t="n">
        <v>43334</v>
      </c>
      <c r="D623" s="87" t="n">
        <v>1</v>
      </c>
      <c r="E623" s="99" t="n">
        <v>1</v>
      </c>
      <c r="F623" s="104" t="s">
        <v>178</v>
      </c>
      <c r="G623" s="112" t="s">
        <v>786</v>
      </c>
    </row>
    <row r="624" s="105" customFormat="true" ht="18" hidden="false" customHeight="true" outlineLevel="0" collapsed="false">
      <c r="A624" s="96" t="n">
        <v>104</v>
      </c>
      <c r="B624" s="102" t="s">
        <v>126</v>
      </c>
      <c r="C624" s="103" t="n">
        <v>43334</v>
      </c>
      <c r="D624" s="87" t="n">
        <v>1</v>
      </c>
      <c r="E624" s="99" t="n">
        <v>1</v>
      </c>
      <c r="F624" s="104" t="s">
        <v>178</v>
      </c>
      <c r="G624" s="112" t="s">
        <v>787</v>
      </c>
    </row>
    <row r="625" s="105" customFormat="true" ht="18" hidden="false" customHeight="true" outlineLevel="0" collapsed="false">
      <c r="A625" s="96" t="n">
        <v>104</v>
      </c>
      <c r="B625" s="102" t="s">
        <v>126</v>
      </c>
      <c r="C625" s="103" t="n">
        <v>43334</v>
      </c>
      <c r="D625" s="87" t="n">
        <v>1</v>
      </c>
      <c r="E625" s="99" t="n">
        <v>1</v>
      </c>
      <c r="F625" s="104" t="s">
        <v>178</v>
      </c>
      <c r="G625" s="112" t="s">
        <v>788</v>
      </c>
    </row>
    <row r="626" s="105" customFormat="true" ht="18" hidden="false" customHeight="true" outlineLevel="0" collapsed="false">
      <c r="A626" s="96" t="n">
        <v>116</v>
      </c>
      <c r="B626" s="102" t="s">
        <v>138</v>
      </c>
      <c r="C626" s="103" t="n">
        <v>43333</v>
      </c>
      <c r="D626" s="87" t="n">
        <v>1</v>
      </c>
      <c r="E626" s="99" t="n">
        <v>1</v>
      </c>
      <c r="F626" s="104" t="s">
        <v>178</v>
      </c>
      <c r="G626" s="112" t="s">
        <v>789</v>
      </c>
    </row>
    <row r="627" s="105" customFormat="true" ht="18" hidden="false" customHeight="true" outlineLevel="0" collapsed="false">
      <c r="A627" s="96" t="n">
        <v>107</v>
      </c>
      <c r="B627" s="102" t="s">
        <v>129</v>
      </c>
      <c r="C627" s="103" t="n">
        <v>43333</v>
      </c>
      <c r="D627" s="87" t="n">
        <v>1</v>
      </c>
      <c r="E627" s="99" t="n">
        <v>1</v>
      </c>
      <c r="F627" s="104" t="s">
        <v>178</v>
      </c>
      <c r="G627" s="112" t="s">
        <v>790</v>
      </c>
    </row>
    <row r="628" s="105" customFormat="true" ht="18" hidden="false" customHeight="true" outlineLevel="0" collapsed="false">
      <c r="A628" s="96" t="n">
        <v>106</v>
      </c>
      <c r="B628" s="102" t="s">
        <v>128</v>
      </c>
      <c r="C628" s="103" t="n">
        <v>43333</v>
      </c>
      <c r="D628" s="87" t="n">
        <v>1</v>
      </c>
      <c r="E628" s="99" t="n">
        <v>1</v>
      </c>
      <c r="F628" s="104" t="s">
        <v>178</v>
      </c>
      <c r="G628" s="112" t="s">
        <v>790</v>
      </c>
    </row>
    <row r="629" s="105" customFormat="true" ht="18" hidden="false" customHeight="true" outlineLevel="0" collapsed="false">
      <c r="A629" s="96" t="n">
        <v>105</v>
      </c>
      <c r="B629" s="102" t="s">
        <v>127</v>
      </c>
      <c r="C629" s="103" t="n">
        <v>43333</v>
      </c>
      <c r="D629" s="87" t="n">
        <v>1</v>
      </c>
      <c r="E629" s="99" t="n">
        <v>1</v>
      </c>
      <c r="F629" s="104" t="s">
        <v>178</v>
      </c>
      <c r="G629" s="112" t="s">
        <v>791</v>
      </c>
    </row>
    <row r="630" s="105" customFormat="true" ht="18" hidden="false" customHeight="true" outlineLevel="0" collapsed="false">
      <c r="A630" s="96" t="n">
        <v>104</v>
      </c>
      <c r="B630" s="102" t="s">
        <v>126</v>
      </c>
      <c r="C630" s="103" t="n">
        <v>43333</v>
      </c>
      <c r="D630" s="87" t="n">
        <v>2</v>
      </c>
      <c r="E630" s="99" t="n">
        <v>1</v>
      </c>
      <c r="F630" s="104" t="s">
        <v>178</v>
      </c>
      <c r="G630" s="112" t="s">
        <v>792</v>
      </c>
    </row>
    <row r="631" s="105" customFormat="true" ht="18" hidden="false" customHeight="true" outlineLevel="0" collapsed="false">
      <c r="A631" s="96" t="n">
        <v>104</v>
      </c>
      <c r="B631" s="102" t="s">
        <v>126</v>
      </c>
      <c r="C631" s="103" t="n">
        <v>43332</v>
      </c>
      <c r="D631" s="87" t="n">
        <v>1</v>
      </c>
      <c r="E631" s="99" t="n">
        <v>1</v>
      </c>
      <c r="F631" s="104" t="s">
        <v>178</v>
      </c>
      <c r="G631" s="112" t="s">
        <v>793</v>
      </c>
    </row>
    <row r="632" s="105" customFormat="true" ht="18" hidden="false" customHeight="true" outlineLevel="0" collapsed="false">
      <c r="A632" s="96" t="n">
        <v>104</v>
      </c>
      <c r="B632" s="102" t="s">
        <v>126</v>
      </c>
      <c r="C632" s="103" t="n">
        <v>43332</v>
      </c>
      <c r="D632" s="87" t="n">
        <v>1</v>
      </c>
      <c r="E632" s="99" t="n">
        <v>1</v>
      </c>
      <c r="F632" s="104" t="s">
        <v>178</v>
      </c>
      <c r="G632" s="112" t="s">
        <v>794</v>
      </c>
    </row>
    <row r="633" s="105" customFormat="true" ht="18" hidden="false" customHeight="true" outlineLevel="0" collapsed="false">
      <c r="A633" s="96" t="n">
        <v>104</v>
      </c>
      <c r="B633" s="102" t="s">
        <v>126</v>
      </c>
      <c r="C633" s="103" t="n">
        <v>43332</v>
      </c>
      <c r="D633" s="87" t="n">
        <v>1</v>
      </c>
      <c r="E633" s="99" t="n">
        <v>1</v>
      </c>
      <c r="F633" s="104" t="s">
        <v>178</v>
      </c>
      <c r="G633" s="112" t="s">
        <v>795</v>
      </c>
    </row>
    <row r="634" s="105" customFormat="true" ht="18" hidden="false" customHeight="true" outlineLevel="0" collapsed="false">
      <c r="A634" s="96" t="n">
        <v>115</v>
      </c>
      <c r="B634" s="102" t="s">
        <v>137</v>
      </c>
      <c r="C634" s="103" t="n">
        <v>43331</v>
      </c>
      <c r="D634" s="87" t="n">
        <v>1</v>
      </c>
      <c r="E634" s="99" t="n">
        <v>1</v>
      </c>
      <c r="F634" s="104" t="s">
        <v>178</v>
      </c>
      <c r="G634" s="112" t="s">
        <v>796</v>
      </c>
    </row>
    <row r="635" s="105" customFormat="true" ht="18" hidden="false" customHeight="true" outlineLevel="0" collapsed="false">
      <c r="A635" s="96" t="n">
        <v>104</v>
      </c>
      <c r="B635" s="102" t="s">
        <v>126</v>
      </c>
      <c r="C635" s="103" t="n">
        <v>43329</v>
      </c>
      <c r="D635" s="87" t="n">
        <v>1</v>
      </c>
      <c r="E635" s="99" t="n">
        <v>1</v>
      </c>
      <c r="F635" s="104" t="s">
        <v>178</v>
      </c>
      <c r="G635" s="115" t="s">
        <v>797</v>
      </c>
    </row>
    <row r="636" s="105" customFormat="true" ht="18" hidden="false" customHeight="true" outlineLevel="0" collapsed="false">
      <c r="A636" s="96" t="n">
        <v>104</v>
      </c>
      <c r="B636" s="102" t="s">
        <v>126</v>
      </c>
      <c r="C636" s="103" t="n">
        <v>43328</v>
      </c>
      <c r="D636" s="87" t="n">
        <v>1</v>
      </c>
      <c r="E636" s="99" t="n">
        <v>1</v>
      </c>
      <c r="F636" s="104" t="s">
        <v>178</v>
      </c>
      <c r="G636" s="112" t="s">
        <v>798</v>
      </c>
    </row>
    <row r="637" s="105" customFormat="true" ht="18" hidden="false" customHeight="true" outlineLevel="0" collapsed="false">
      <c r="A637" s="96" t="n">
        <v>104</v>
      </c>
      <c r="B637" s="102" t="s">
        <v>126</v>
      </c>
      <c r="C637" s="103" t="n">
        <v>43328</v>
      </c>
      <c r="D637" s="87" t="n">
        <v>1</v>
      </c>
      <c r="E637" s="99" t="n">
        <v>1</v>
      </c>
      <c r="F637" s="104" t="s">
        <v>178</v>
      </c>
      <c r="G637" s="112" t="s">
        <v>799</v>
      </c>
    </row>
    <row r="638" s="105" customFormat="true" ht="18" hidden="false" customHeight="true" outlineLevel="0" collapsed="false">
      <c r="A638" s="96" t="n">
        <v>104</v>
      </c>
      <c r="B638" s="102" t="s">
        <v>126</v>
      </c>
      <c r="C638" s="103" t="n">
        <v>43327</v>
      </c>
      <c r="D638" s="87" t="n">
        <v>1</v>
      </c>
      <c r="E638" s="99" t="n">
        <v>1</v>
      </c>
      <c r="F638" s="104" t="s">
        <v>178</v>
      </c>
      <c r="G638" s="112" t="s">
        <v>554</v>
      </c>
    </row>
    <row r="639" s="105" customFormat="true" ht="18" hidden="false" customHeight="true" outlineLevel="0" collapsed="false">
      <c r="A639" s="96" t="n">
        <v>104</v>
      </c>
      <c r="B639" s="102" t="s">
        <v>126</v>
      </c>
      <c r="C639" s="103" t="n">
        <v>43327</v>
      </c>
      <c r="D639" s="87" t="n">
        <v>1</v>
      </c>
      <c r="E639" s="99" t="n">
        <v>1</v>
      </c>
      <c r="F639" s="104" t="s">
        <v>178</v>
      </c>
      <c r="G639" s="115" t="s">
        <v>800</v>
      </c>
    </row>
    <row r="640" s="105" customFormat="true" ht="18" hidden="false" customHeight="true" outlineLevel="0" collapsed="false">
      <c r="A640" s="96" t="n">
        <v>104</v>
      </c>
      <c r="B640" s="102" t="s">
        <v>126</v>
      </c>
      <c r="C640" s="103" t="n">
        <v>43326</v>
      </c>
      <c r="D640" s="87" t="n">
        <v>1</v>
      </c>
      <c r="E640" s="99" t="n">
        <v>1</v>
      </c>
      <c r="F640" s="104" t="s">
        <v>178</v>
      </c>
      <c r="G640" s="112" t="s">
        <v>801</v>
      </c>
    </row>
    <row r="641" s="105" customFormat="true" ht="18" hidden="false" customHeight="true" outlineLevel="0" collapsed="false">
      <c r="A641" s="96" t="n">
        <v>104</v>
      </c>
      <c r="B641" s="102" t="s">
        <v>126</v>
      </c>
      <c r="C641" s="103" t="n">
        <v>43325</v>
      </c>
      <c r="D641" s="87" t="n">
        <v>1</v>
      </c>
      <c r="E641" s="99" t="n">
        <v>1</v>
      </c>
      <c r="F641" s="104" t="s">
        <v>178</v>
      </c>
      <c r="G641" s="112" t="s">
        <v>802</v>
      </c>
    </row>
    <row r="642" s="105" customFormat="true" ht="18" hidden="false" customHeight="true" outlineLevel="0" collapsed="false">
      <c r="A642" s="96" t="n">
        <v>104</v>
      </c>
      <c r="B642" s="102" t="s">
        <v>126</v>
      </c>
      <c r="C642" s="103" t="n">
        <v>43323</v>
      </c>
      <c r="D642" s="87" t="n">
        <v>3</v>
      </c>
      <c r="E642" s="99" t="n">
        <v>1</v>
      </c>
      <c r="F642" s="104" t="s">
        <v>178</v>
      </c>
      <c r="G642" s="112" t="s">
        <v>803</v>
      </c>
    </row>
    <row r="643" s="105" customFormat="true" ht="18" hidden="false" customHeight="true" outlineLevel="0" collapsed="false">
      <c r="A643" s="96" t="n">
        <v>104</v>
      </c>
      <c r="B643" s="102" t="s">
        <v>126</v>
      </c>
      <c r="C643" s="103" t="n">
        <v>43325</v>
      </c>
      <c r="D643" s="87" t="n">
        <v>1</v>
      </c>
      <c r="E643" s="99" t="n">
        <v>1</v>
      </c>
      <c r="F643" s="104" t="s">
        <v>178</v>
      </c>
      <c r="G643" s="112" t="s">
        <v>804</v>
      </c>
    </row>
    <row r="644" s="105" customFormat="true" ht="18" hidden="false" customHeight="true" outlineLevel="0" collapsed="false">
      <c r="A644" s="96" t="n">
        <v>104</v>
      </c>
      <c r="B644" s="102" t="s">
        <v>126</v>
      </c>
      <c r="C644" s="103" t="n">
        <v>43322</v>
      </c>
      <c r="D644" s="87" t="n">
        <v>1</v>
      </c>
      <c r="E644" s="99" t="n">
        <v>1</v>
      </c>
      <c r="F644" s="104" t="s">
        <v>178</v>
      </c>
      <c r="G644" s="112" t="s">
        <v>805</v>
      </c>
    </row>
    <row r="645" s="105" customFormat="true" ht="18" hidden="false" customHeight="true" outlineLevel="0" collapsed="false">
      <c r="A645" s="96" t="n">
        <v>104</v>
      </c>
      <c r="B645" s="102" t="s">
        <v>126</v>
      </c>
      <c r="C645" s="103" t="n">
        <v>43321</v>
      </c>
      <c r="D645" s="87" t="n">
        <v>1</v>
      </c>
      <c r="E645" s="99" t="n">
        <v>1</v>
      </c>
      <c r="F645" s="104" t="s">
        <v>178</v>
      </c>
      <c r="G645" s="112" t="s">
        <v>806</v>
      </c>
    </row>
    <row r="646" s="105" customFormat="true" ht="18" hidden="false" customHeight="true" outlineLevel="0" collapsed="false">
      <c r="A646" s="96" t="n">
        <v>104</v>
      </c>
      <c r="B646" s="102" t="s">
        <v>126</v>
      </c>
      <c r="C646" s="103" t="n">
        <v>43320</v>
      </c>
      <c r="D646" s="87" t="n">
        <v>1</v>
      </c>
      <c r="E646" s="99" t="n">
        <v>1</v>
      </c>
      <c r="F646" s="104" t="s">
        <v>178</v>
      </c>
      <c r="G646" s="112" t="s">
        <v>807</v>
      </c>
    </row>
    <row r="647" s="105" customFormat="true" ht="18" hidden="false" customHeight="true" outlineLevel="0" collapsed="false">
      <c r="A647" s="96" t="n">
        <v>104</v>
      </c>
      <c r="B647" s="102" t="s">
        <v>126</v>
      </c>
      <c r="C647" s="103" t="n">
        <v>43319</v>
      </c>
      <c r="D647" s="87" t="n">
        <v>2</v>
      </c>
      <c r="E647" s="99" t="n">
        <v>1</v>
      </c>
      <c r="F647" s="104" t="s">
        <v>178</v>
      </c>
      <c r="G647" s="112" t="s">
        <v>808</v>
      </c>
    </row>
    <row r="648" s="105" customFormat="true" ht="18" hidden="false" customHeight="true" outlineLevel="0" collapsed="false">
      <c r="A648" s="96" t="n">
        <v>104</v>
      </c>
      <c r="B648" s="102" t="s">
        <v>126</v>
      </c>
      <c r="C648" s="103" t="n">
        <v>43319</v>
      </c>
      <c r="D648" s="87" t="n">
        <v>1</v>
      </c>
      <c r="E648" s="99" t="n">
        <v>1</v>
      </c>
      <c r="F648" s="104" t="s">
        <v>178</v>
      </c>
      <c r="G648" s="112" t="s">
        <v>809</v>
      </c>
    </row>
    <row r="649" s="105" customFormat="true" ht="18" hidden="false" customHeight="true" outlineLevel="0" collapsed="false">
      <c r="A649" s="96" t="n">
        <v>104</v>
      </c>
      <c r="B649" s="102" t="s">
        <v>126</v>
      </c>
      <c r="C649" s="103" t="n">
        <v>43318</v>
      </c>
      <c r="D649" s="87" t="n">
        <v>1</v>
      </c>
      <c r="E649" s="99" t="n">
        <v>1</v>
      </c>
      <c r="F649" s="104" t="s">
        <v>178</v>
      </c>
      <c r="G649" s="112" t="s">
        <v>810</v>
      </c>
    </row>
    <row r="650" s="105" customFormat="true" ht="18" hidden="false" customHeight="true" outlineLevel="0" collapsed="false">
      <c r="A650" s="96" t="n">
        <v>104</v>
      </c>
      <c r="B650" s="102" t="s">
        <v>126</v>
      </c>
      <c r="C650" s="103" t="n">
        <v>43317</v>
      </c>
      <c r="D650" s="87" t="n">
        <v>1</v>
      </c>
      <c r="E650" s="99" t="n">
        <v>1</v>
      </c>
      <c r="F650" s="104" t="s">
        <v>178</v>
      </c>
      <c r="G650" s="112" t="s">
        <v>811</v>
      </c>
    </row>
    <row r="651" s="105" customFormat="true" ht="18" hidden="false" customHeight="true" outlineLevel="0" collapsed="false">
      <c r="A651" s="96" t="n">
        <v>104</v>
      </c>
      <c r="B651" s="102" t="s">
        <v>126</v>
      </c>
      <c r="C651" s="103" t="n">
        <v>43315</v>
      </c>
      <c r="D651" s="87" t="n">
        <v>1</v>
      </c>
      <c r="E651" s="99" t="n">
        <v>1</v>
      </c>
      <c r="F651" s="104" t="s">
        <v>178</v>
      </c>
      <c r="G651" s="112" t="s">
        <v>812</v>
      </c>
    </row>
    <row r="652" s="105" customFormat="true" ht="18" hidden="false" customHeight="true" outlineLevel="0" collapsed="false">
      <c r="A652" s="96" t="n">
        <v>104</v>
      </c>
      <c r="B652" s="102" t="s">
        <v>126</v>
      </c>
      <c r="C652" s="103" t="n">
        <v>43315</v>
      </c>
      <c r="D652" s="87" t="n">
        <v>1</v>
      </c>
      <c r="E652" s="99" t="n">
        <v>1</v>
      </c>
      <c r="F652" s="104" t="s">
        <v>178</v>
      </c>
      <c r="G652" s="112" t="s">
        <v>813</v>
      </c>
    </row>
    <row r="653" s="105" customFormat="true" ht="18" hidden="false" customHeight="true" outlineLevel="0" collapsed="false">
      <c r="A653" s="96" t="n">
        <v>113</v>
      </c>
      <c r="B653" s="102" t="s">
        <v>135</v>
      </c>
      <c r="C653" s="103" t="n">
        <v>43314</v>
      </c>
      <c r="D653" s="87" t="n">
        <v>1</v>
      </c>
      <c r="E653" s="99" t="n">
        <v>1</v>
      </c>
      <c r="F653" s="104" t="s">
        <v>178</v>
      </c>
      <c r="G653" s="112" t="s">
        <v>814</v>
      </c>
    </row>
    <row r="654" s="105" customFormat="true" ht="18" hidden="false" customHeight="true" outlineLevel="0" collapsed="false">
      <c r="A654" s="96" t="n">
        <v>116</v>
      </c>
      <c r="B654" s="102" t="s">
        <v>138</v>
      </c>
      <c r="C654" s="103" t="n">
        <v>43314</v>
      </c>
      <c r="D654" s="87" t="n">
        <v>1</v>
      </c>
      <c r="E654" s="99" t="n">
        <v>1</v>
      </c>
      <c r="F654" s="104" t="s">
        <v>178</v>
      </c>
      <c r="G654" s="112" t="s">
        <v>814</v>
      </c>
    </row>
    <row r="655" s="105" customFormat="true" ht="18" hidden="false" customHeight="true" outlineLevel="0" collapsed="false">
      <c r="A655" s="96" t="n">
        <v>113</v>
      </c>
      <c r="B655" s="102" t="s">
        <v>135</v>
      </c>
      <c r="C655" s="103" t="n">
        <v>43314</v>
      </c>
      <c r="D655" s="87" t="n">
        <v>1</v>
      </c>
      <c r="E655" s="99" t="n">
        <v>1</v>
      </c>
      <c r="F655" s="104" t="s">
        <v>178</v>
      </c>
      <c r="G655" s="112" t="s">
        <v>815</v>
      </c>
    </row>
    <row r="656" s="105" customFormat="true" ht="18" hidden="false" customHeight="true" outlineLevel="0" collapsed="false">
      <c r="A656" s="96" t="n">
        <v>116</v>
      </c>
      <c r="B656" s="102" t="s">
        <v>138</v>
      </c>
      <c r="C656" s="103" t="n">
        <v>43314</v>
      </c>
      <c r="D656" s="87" t="n">
        <v>1</v>
      </c>
      <c r="E656" s="99" t="n">
        <v>1</v>
      </c>
      <c r="F656" s="104" t="s">
        <v>178</v>
      </c>
      <c r="G656" s="112" t="s">
        <v>815</v>
      </c>
    </row>
    <row r="657" s="105" customFormat="true" ht="18" hidden="false" customHeight="true" outlineLevel="0" collapsed="false">
      <c r="A657" s="96" t="n">
        <v>104</v>
      </c>
      <c r="B657" s="102" t="s">
        <v>126</v>
      </c>
      <c r="C657" s="103" t="n">
        <v>43314</v>
      </c>
      <c r="D657" s="87" t="n">
        <v>1</v>
      </c>
      <c r="E657" s="99" t="n">
        <v>1</v>
      </c>
      <c r="F657" s="104" t="s">
        <v>178</v>
      </c>
      <c r="G657" s="112" t="s">
        <v>816</v>
      </c>
    </row>
    <row r="658" s="105" customFormat="true" ht="18" hidden="false" customHeight="true" outlineLevel="0" collapsed="false">
      <c r="A658" s="96" t="n">
        <v>104</v>
      </c>
      <c r="B658" s="102" t="s">
        <v>126</v>
      </c>
      <c r="C658" s="103" t="n">
        <v>43313</v>
      </c>
      <c r="D658" s="87" t="n">
        <v>3</v>
      </c>
      <c r="E658" s="99" t="n">
        <v>1</v>
      </c>
      <c r="F658" s="104" t="s">
        <v>178</v>
      </c>
      <c r="G658" s="112" t="s">
        <v>817</v>
      </c>
    </row>
    <row r="659" s="105" customFormat="true" ht="18" hidden="false" customHeight="true" outlineLevel="0" collapsed="false">
      <c r="A659" s="96" t="n">
        <v>104</v>
      </c>
      <c r="B659" s="102" t="s">
        <v>126</v>
      </c>
      <c r="C659" s="103" t="n">
        <v>43312</v>
      </c>
      <c r="D659" s="87" t="n">
        <v>1</v>
      </c>
      <c r="E659" s="99" t="n">
        <v>1</v>
      </c>
      <c r="F659" s="104" t="s">
        <v>178</v>
      </c>
      <c r="G659" s="112" t="s">
        <v>818</v>
      </c>
    </row>
    <row r="660" s="105" customFormat="true" ht="18" hidden="false" customHeight="true" outlineLevel="0" collapsed="false">
      <c r="A660" s="96" t="n">
        <v>104</v>
      </c>
      <c r="B660" s="102" t="s">
        <v>126</v>
      </c>
      <c r="C660" s="103" t="n">
        <v>43312</v>
      </c>
      <c r="D660" s="87" t="n">
        <v>1</v>
      </c>
      <c r="E660" s="99" t="n">
        <v>1</v>
      </c>
      <c r="F660" s="104" t="s">
        <v>178</v>
      </c>
      <c r="G660" s="112" t="s">
        <v>819</v>
      </c>
    </row>
    <row r="661" s="105" customFormat="true" ht="18" hidden="false" customHeight="true" outlineLevel="0" collapsed="false">
      <c r="A661" s="96" t="n">
        <v>194</v>
      </c>
      <c r="B661" s="102" t="s">
        <v>126</v>
      </c>
      <c r="C661" s="103" t="n">
        <v>43311</v>
      </c>
      <c r="D661" s="87" t="n">
        <v>3</v>
      </c>
      <c r="E661" s="99" t="n">
        <v>1</v>
      </c>
      <c r="F661" s="104" t="s">
        <v>178</v>
      </c>
      <c r="G661" s="112" t="s">
        <v>820</v>
      </c>
    </row>
    <row r="662" s="105" customFormat="true" ht="18" hidden="false" customHeight="true" outlineLevel="0" collapsed="false">
      <c r="A662" s="96" t="n">
        <v>104</v>
      </c>
      <c r="B662" s="102" t="s">
        <v>126</v>
      </c>
      <c r="C662" s="103" t="n">
        <v>43308</v>
      </c>
      <c r="D662" s="87" t="n">
        <v>1</v>
      </c>
      <c r="E662" s="99" t="n">
        <v>1</v>
      </c>
      <c r="F662" s="104" t="s">
        <v>178</v>
      </c>
      <c r="G662" s="112" t="s">
        <v>821</v>
      </c>
    </row>
    <row r="663" s="105" customFormat="true" ht="18" hidden="false" customHeight="true" outlineLevel="0" collapsed="false">
      <c r="A663" s="96" t="n">
        <v>104</v>
      </c>
      <c r="B663" s="102" t="s">
        <v>126</v>
      </c>
      <c r="C663" s="103" t="n">
        <v>43307</v>
      </c>
      <c r="D663" s="87" t="n">
        <v>1</v>
      </c>
      <c r="E663" s="99" t="n">
        <v>1</v>
      </c>
      <c r="F663" s="104" t="s">
        <v>178</v>
      </c>
      <c r="G663" s="112" t="s">
        <v>822</v>
      </c>
    </row>
    <row r="664" s="105" customFormat="true" ht="18" hidden="false" customHeight="true" outlineLevel="0" collapsed="false">
      <c r="A664" s="96" t="n">
        <v>104</v>
      </c>
      <c r="B664" s="102" t="s">
        <v>126</v>
      </c>
      <c r="C664" s="103" t="n">
        <v>43307</v>
      </c>
      <c r="D664" s="87" t="n">
        <v>1</v>
      </c>
      <c r="E664" s="99" t="n">
        <v>1</v>
      </c>
      <c r="F664" s="104" t="s">
        <v>178</v>
      </c>
      <c r="G664" s="113" t="s">
        <v>823</v>
      </c>
    </row>
    <row r="665" s="105" customFormat="true" ht="18" hidden="false" customHeight="true" outlineLevel="0" collapsed="false">
      <c r="A665" s="96" t="n">
        <v>104</v>
      </c>
      <c r="B665" s="102" t="s">
        <v>126</v>
      </c>
      <c r="C665" s="103" t="n">
        <v>43306</v>
      </c>
      <c r="D665" s="87" t="n">
        <v>1</v>
      </c>
      <c r="E665" s="99" t="n">
        <v>1</v>
      </c>
      <c r="F665" s="104" t="s">
        <v>178</v>
      </c>
      <c r="G665" s="113" t="s">
        <v>824</v>
      </c>
    </row>
    <row r="666" s="105" customFormat="true" ht="18" hidden="false" customHeight="true" outlineLevel="0" collapsed="false">
      <c r="A666" s="96" t="n">
        <v>104</v>
      </c>
      <c r="B666" s="102" t="s">
        <v>126</v>
      </c>
      <c r="C666" s="103" t="n">
        <v>43306</v>
      </c>
      <c r="D666" s="87" t="n">
        <v>1</v>
      </c>
      <c r="E666" s="99" t="n">
        <v>1</v>
      </c>
      <c r="F666" s="104" t="s">
        <v>178</v>
      </c>
      <c r="G666" s="113" t="s">
        <v>825</v>
      </c>
    </row>
    <row r="667" s="105" customFormat="true" ht="18" hidden="false" customHeight="true" outlineLevel="0" collapsed="false">
      <c r="A667" s="96" t="n">
        <v>104</v>
      </c>
      <c r="B667" s="102" t="s">
        <v>126</v>
      </c>
      <c r="C667" s="103" t="n">
        <v>43306</v>
      </c>
      <c r="D667" s="87" t="n">
        <v>1</v>
      </c>
      <c r="E667" s="99" t="n">
        <v>1</v>
      </c>
      <c r="F667" s="104" t="s">
        <v>178</v>
      </c>
      <c r="G667" s="113" t="s">
        <v>826</v>
      </c>
    </row>
    <row r="668" s="105" customFormat="true" ht="18" hidden="false" customHeight="true" outlineLevel="0" collapsed="false">
      <c r="A668" s="96" t="n">
        <v>114</v>
      </c>
      <c r="B668" s="102" t="s">
        <v>136</v>
      </c>
      <c r="C668" s="103" t="n">
        <v>43305</v>
      </c>
      <c r="D668" s="87" t="n">
        <v>1</v>
      </c>
      <c r="E668" s="99" t="n">
        <v>1</v>
      </c>
      <c r="F668" s="104" t="s">
        <v>178</v>
      </c>
      <c r="G668" s="113" t="s">
        <v>827</v>
      </c>
    </row>
    <row r="669" s="105" customFormat="true" ht="18" hidden="false" customHeight="true" outlineLevel="0" collapsed="false">
      <c r="A669" s="96" t="n">
        <v>104</v>
      </c>
      <c r="B669" s="102" t="s">
        <v>126</v>
      </c>
      <c r="C669" s="103" t="n">
        <v>43305</v>
      </c>
      <c r="D669" s="87" t="n">
        <v>1</v>
      </c>
      <c r="E669" s="99" t="n">
        <v>1</v>
      </c>
      <c r="F669" s="104" t="s">
        <v>178</v>
      </c>
      <c r="G669" s="112" t="s">
        <v>828</v>
      </c>
    </row>
    <row r="670" s="105" customFormat="true" ht="18" hidden="false" customHeight="true" outlineLevel="0" collapsed="false">
      <c r="A670" s="96" t="n">
        <v>104</v>
      </c>
      <c r="B670" s="102" t="s">
        <v>126</v>
      </c>
      <c r="C670" s="103" t="n">
        <v>43304</v>
      </c>
      <c r="D670" s="87" t="n">
        <v>1</v>
      </c>
      <c r="E670" s="99" t="n">
        <v>1</v>
      </c>
      <c r="F670" s="104" t="s">
        <v>178</v>
      </c>
      <c r="G670" s="113" t="s">
        <v>829</v>
      </c>
    </row>
    <row r="671" s="105" customFormat="true" ht="17.35" hidden="false" customHeight="false" outlineLevel="0" collapsed="false">
      <c r="A671" s="96" t="n">
        <v>116</v>
      </c>
      <c r="B671" s="102" t="s">
        <v>138</v>
      </c>
      <c r="C671" s="103" t="n">
        <v>43302</v>
      </c>
      <c r="D671" s="87" t="n">
        <v>1</v>
      </c>
      <c r="E671" s="99" t="n">
        <v>1</v>
      </c>
      <c r="F671" s="104" t="s">
        <v>178</v>
      </c>
      <c r="G671" s="113" t="s">
        <v>830</v>
      </c>
    </row>
    <row r="672" s="105" customFormat="true" ht="17.35" hidden="false" customHeight="false" outlineLevel="0" collapsed="false">
      <c r="A672" s="96" t="n">
        <v>104</v>
      </c>
      <c r="B672" s="102" t="s">
        <v>126</v>
      </c>
      <c r="C672" s="103" t="n">
        <v>43301</v>
      </c>
      <c r="D672" s="87" t="n">
        <v>1</v>
      </c>
      <c r="E672" s="99" t="n">
        <v>1</v>
      </c>
      <c r="F672" s="104" t="s">
        <v>178</v>
      </c>
      <c r="G672" s="113" t="s">
        <v>831</v>
      </c>
    </row>
    <row r="673" s="105" customFormat="true" ht="17.35" hidden="false" customHeight="false" outlineLevel="0" collapsed="false">
      <c r="A673" s="96" t="n">
        <v>104</v>
      </c>
      <c r="B673" s="102" t="s">
        <v>126</v>
      </c>
      <c r="C673" s="103" t="n">
        <v>43301</v>
      </c>
      <c r="D673" s="87" t="n">
        <v>2</v>
      </c>
      <c r="E673" s="99" t="n">
        <v>1</v>
      </c>
      <c r="F673" s="104" t="s">
        <v>178</v>
      </c>
      <c r="G673" s="113" t="s">
        <v>832</v>
      </c>
    </row>
    <row r="674" s="105" customFormat="true" ht="17.35" hidden="false" customHeight="false" outlineLevel="0" collapsed="false">
      <c r="A674" s="96" t="n">
        <v>104</v>
      </c>
      <c r="B674" s="102" t="s">
        <v>126</v>
      </c>
      <c r="C674" s="103" t="n">
        <v>43299</v>
      </c>
      <c r="D674" s="87" t="n">
        <v>1</v>
      </c>
      <c r="E674" s="99" t="n">
        <v>1</v>
      </c>
      <c r="F674" s="104" t="s">
        <v>178</v>
      </c>
      <c r="G674" s="113" t="s">
        <v>833</v>
      </c>
    </row>
    <row r="675" s="105" customFormat="true" ht="17.35" hidden="false" customHeight="false" outlineLevel="0" collapsed="false">
      <c r="A675" s="96" t="n">
        <v>114</v>
      </c>
      <c r="B675" s="102" t="s">
        <v>136</v>
      </c>
      <c r="C675" s="103" t="n">
        <v>43299</v>
      </c>
      <c r="D675" s="87" t="n">
        <v>1</v>
      </c>
      <c r="E675" s="99" t="n">
        <v>1</v>
      </c>
      <c r="F675" s="104" t="s">
        <v>178</v>
      </c>
      <c r="G675" s="113" t="s">
        <v>834</v>
      </c>
    </row>
    <row r="676" s="105" customFormat="true" ht="17.35" hidden="false" customHeight="false" outlineLevel="0" collapsed="false">
      <c r="A676" s="96" t="n">
        <v>115</v>
      </c>
      <c r="B676" s="102" t="s">
        <v>137</v>
      </c>
      <c r="C676" s="103" t="n">
        <v>43299</v>
      </c>
      <c r="D676" s="87" t="n">
        <v>1</v>
      </c>
      <c r="E676" s="99" t="n">
        <v>1</v>
      </c>
      <c r="F676" s="104" t="s">
        <v>178</v>
      </c>
      <c r="G676" s="113" t="s">
        <v>835</v>
      </c>
    </row>
    <row r="677" s="105" customFormat="true" ht="17.35" hidden="false" customHeight="false" outlineLevel="0" collapsed="false">
      <c r="A677" s="96" t="n">
        <v>104</v>
      </c>
      <c r="B677" s="102" t="s">
        <v>126</v>
      </c>
      <c r="C677" s="103" t="n">
        <v>43298</v>
      </c>
      <c r="D677" s="87" t="n">
        <v>3</v>
      </c>
      <c r="E677" s="99" t="n">
        <v>1</v>
      </c>
      <c r="F677" s="104" t="s">
        <v>178</v>
      </c>
      <c r="G677" s="113" t="s">
        <v>836</v>
      </c>
    </row>
    <row r="678" s="105" customFormat="true" ht="17.35" hidden="false" customHeight="false" outlineLevel="0" collapsed="false">
      <c r="A678" s="96" t="n">
        <v>104</v>
      </c>
      <c r="B678" s="102" t="s">
        <v>126</v>
      </c>
      <c r="C678" s="103" t="n">
        <v>43298</v>
      </c>
      <c r="D678" s="87" t="n">
        <v>1</v>
      </c>
      <c r="E678" s="99" t="n">
        <v>1</v>
      </c>
      <c r="F678" s="104" t="s">
        <v>178</v>
      </c>
      <c r="G678" s="113" t="s">
        <v>837</v>
      </c>
    </row>
    <row r="679" s="105" customFormat="true" ht="17.35" hidden="false" customHeight="false" outlineLevel="0" collapsed="false">
      <c r="A679" s="96" t="n">
        <v>104</v>
      </c>
      <c r="B679" s="102" t="s">
        <v>126</v>
      </c>
      <c r="C679" s="103" t="n">
        <v>43294</v>
      </c>
      <c r="D679" s="87" t="n">
        <v>1</v>
      </c>
      <c r="E679" s="99" t="n">
        <v>1</v>
      </c>
      <c r="F679" s="104" t="s">
        <v>178</v>
      </c>
      <c r="G679" s="113" t="s">
        <v>838</v>
      </c>
    </row>
    <row r="680" s="105" customFormat="true" ht="17.35" hidden="false" customHeight="false" outlineLevel="0" collapsed="false">
      <c r="A680" s="96" t="n">
        <v>104</v>
      </c>
      <c r="B680" s="102" t="s">
        <v>126</v>
      </c>
      <c r="C680" s="103" t="n">
        <v>43294</v>
      </c>
      <c r="D680" s="87" t="n">
        <v>1</v>
      </c>
      <c r="E680" s="99" t="n">
        <v>1</v>
      </c>
      <c r="F680" s="104" t="s">
        <v>178</v>
      </c>
      <c r="G680" s="113" t="s">
        <v>839</v>
      </c>
    </row>
    <row r="681" s="105" customFormat="true" ht="17.35" hidden="false" customHeight="false" outlineLevel="0" collapsed="false">
      <c r="A681" s="96" t="n">
        <v>104</v>
      </c>
      <c r="B681" s="102" t="s">
        <v>126</v>
      </c>
      <c r="C681" s="103" t="n">
        <v>43293</v>
      </c>
      <c r="D681" s="87" t="n">
        <v>1</v>
      </c>
      <c r="E681" s="99" t="n">
        <v>1</v>
      </c>
      <c r="F681" s="104" t="s">
        <v>178</v>
      </c>
      <c r="G681" s="113" t="s">
        <v>840</v>
      </c>
    </row>
    <row r="682" s="105" customFormat="true" ht="17.35" hidden="false" customHeight="false" outlineLevel="0" collapsed="false">
      <c r="A682" s="96" t="n">
        <v>104</v>
      </c>
      <c r="B682" s="102" t="s">
        <v>126</v>
      </c>
      <c r="C682" s="103" t="n">
        <v>43291</v>
      </c>
      <c r="D682" s="87" t="n">
        <v>1</v>
      </c>
      <c r="E682" s="99" t="n">
        <v>1</v>
      </c>
      <c r="F682" s="104" t="s">
        <v>178</v>
      </c>
      <c r="G682" s="113" t="s">
        <v>841</v>
      </c>
    </row>
    <row r="683" s="105" customFormat="true" ht="17.35" hidden="false" customHeight="false" outlineLevel="0" collapsed="false">
      <c r="A683" s="96" t="n">
        <v>104</v>
      </c>
      <c r="B683" s="102" t="s">
        <v>126</v>
      </c>
      <c r="C683" s="103" t="n">
        <v>43291</v>
      </c>
      <c r="D683" s="87" t="n">
        <v>1</v>
      </c>
      <c r="E683" s="99" t="n">
        <v>1</v>
      </c>
      <c r="F683" s="104" t="s">
        <v>178</v>
      </c>
      <c r="G683" s="113" t="s">
        <v>842</v>
      </c>
    </row>
    <row r="684" s="105" customFormat="true" ht="17.35" hidden="false" customHeight="false" outlineLevel="0" collapsed="false">
      <c r="A684" s="96" t="n">
        <v>104</v>
      </c>
      <c r="B684" s="102" t="s">
        <v>126</v>
      </c>
      <c r="C684" s="103" t="n">
        <v>43290</v>
      </c>
      <c r="D684" s="87" t="n">
        <v>1</v>
      </c>
      <c r="E684" s="99" t="n">
        <v>1</v>
      </c>
      <c r="F684" s="104" t="s">
        <v>178</v>
      </c>
      <c r="G684" s="116" t="s">
        <v>843</v>
      </c>
    </row>
    <row r="685" s="105" customFormat="true" ht="17.35" hidden="false" customHeight="false" outlineLevel="0" collapsed="false">
      <c r="A685" s="96" t="n">
        <v>104</v>
      </c>
      <c r="B685" s="117" t="s">
        <v>126</v>
      </c>
      <c r="C685" s="118" t="n">
        <v>43290</v>
      </c>
      <c r="D685" s="87" t="n">
        <v>1</v>
      </c>
      <c r="E685" s="99" t="n">
        <v>1</v>
      </c>
      <c r="F685" s="119" t="s">
        <v>178</v>
      </c>
      <c r="G685" s="116" t="s">
        <v>844</v>
      </c>
      <c r="T685" s="120"/>
      <c r="U685" s="121"/>
      <c r="V685" s="121"/>
      <c r="W685" s="121"/>
      <c r="X685" s="121"/>
      <c r="Y685" s="121"/>
      <c r="Z685" s="121"/>
      <c r="AA685" s="121"/>
      <c r="AB685" s="121"/>
      <c r="AC685" s="121"/>
      <c r="AD685" s="121"/>
      <c r="AE685" s="121" t="s">
        <v>844</v>
      </c>
      <c r="AF685" s="121" t="s">
        <v>844</v>
      </c>
      <c r="AG685" s="121" t="s">
        <v>844</v>
      </c>
      <c r="AH685" s="121" t="s">
        <v>844</v>
      </c>
      <c r="AI685" s="121" t="s">
        <v>844</v>
      </c>
      <c r="AJ685" s="121" t="s">
        <v>844</v>
      </c>
      <c r="AK685" s="121" t="s">
        <v>844</v>
      </c>
      <c r="AL685" s="121" t="s">
        <v>844</v>
      </c>
      <c r="AM685" s="121" t="s">
        <v>844</v>
      </c>
      <c r="AN685" s="121" t="s">
        <v>844</v>
      </c>
      <c r="AO685" s="121" t="s">
        <v>844</v>
      </c>
      <c r="AP685" s="121" t="s">
        <v>844</v>
      </c>
      <c r="AQ685" s="121" t="s">
        <v>844</v>
      </c>
      <c r="AR685" s="121" t="s">
        <v>844</v>
      </c>
      <c r="AS685" s="121" t="s">
        <v>844</v>
      </c>
      <c r="AT685" s="121" t="s">
        <v>844</v>
      </c>
      <c r="AU685" s="121" t="s">
        <v>844</v>
      </c>
      <c r="AV685" s="121" t="s">
        <v>844</v>
      </c>
      <c r="AW685" s="121" t="s">
        <v>844</v>
      </c>
      <c r="AX685" s="121" t="s">
        <v>844</v>
      </c>
      <c r="AY685" s="121" t="s">
        <v>844</v>
      </c>
      <c r="AZ685" s="121" t="s">
        <v>844</v>
      </c>
      <c r="BA685" s="121" t="s">
        <v>844</v>
      </c>
      <c r="BB685" s="121" t="s">
        <v>844</v>
      </c>
      <c r="BC685" s="121" t="s">
        <v>844</v>
      </c>
      <c r="BD685" s="121" t="s">
        <v>844</v>
      </c>
      <c r="BE685" s="121" t="s">
        <v>844</v>
      </c>
      <c r="BF685" s="121" t="s">
        <v>844</v>
      </c>
      <c r="BG685" s="121" t="s">
        <v>844</v>
      </c>
      <c r="BH685" s="121" t="s">
        <v>844</v>
      </c>
      <c r="BI685" s="121" t="s">
        <v>844</v>
      </c>
      <c r="BJ685" s="121" t="s">
        <v>844</v>
      </c>
      <c r="BK685" s="121" t="s">
        <v>844</v>
      </c>
      <c r="BL685" s="121" t="s">
        <v>844</v>
      </c>
      <c r="BM685" s="121" t="s">
        <v>844</v>
      </c>
      <c r="BN685" s="121" t="s">
        <v>844</v>
      </c>
      <c r="BO685" s="121" t="s">
        <v>844</v>
      </c>
      <c r="BP685" s="121" t="s">
        <v>844</v>
      </c>
      <c r="BQ685" s="121" t="s">
        <v>844</v>
      </c>
      <c r="BR685" s="121" t="s">
        <v>844</v>
      </c>
      <c r="BS685" s="121" t="s">
        <v>844</v>
      </c>
      <c r="BT685" s="121" t="s">
        <v>844</v>
      </c>
      <c r="BU685" s="121" t="s">
        <v>844</v>
      </c>
      <c r="BV685" s="121" t="s">
        <v>844</v>
      </c>
      <c r="BW685" s="121" t="s">
        <v>844</v>
      </c>
      <c r="BX685" s="121" t="s">
        <v>844</v>
      </c>
      <c r="BY685" s="121" t="s">
        <v>844</v>
      </c>
      <c r="BZ685" s="121" t="s">
        <v>844</v>
      </c>
      <c r="CA685" s="121" t="s">
        <v>844</v>
      </c>
      <c r="CB685" s="121" t="s">
        <v>844</v>
      </c>
      <c r="CC685" s="121" t="s">
        <v>844</v>
      </c>
      <c r="CD685" s="121" t="s">
        <v>844</v>
      </c>
      <c r="CE685" s="121" t="s">
        <v>844</v>
      </c>
      <c r="CF685" s="121" t="s">
        <v>844</v>
      </c>
      <c r="CG685" s="121" t="s">
        <v>844</v>
      </c>
      <c r="CH685" s="121" t="s">
        <v>844</v>
      </c>
      <c r="CI685" s="121" t="s">
        <v>844</v>
      </c>
      <c r="CJ685" s="121" t="s">
        <v>844</v>
      </c>
      <c r="CK685" s="121" t="s">
        <v>844</v>
      </c>
      <c r="CL685" s="121" t="s">
        <v>844</v>
      </c>
      <c r="CM685" s="121" t="s">
        <v>844</v>
      </c>
      <c r="CN685" s="121" t="s">
        <v>844</v>
      </c>
      <c r="CO685" s="121" t="s">
        <v>844</v>
      </c>
      <c r="CP685" s="121" t="s">
        <v>844</v>
      </c>
      <c r="CQ685" s="121" t="s">
        <v>844</v>
      </c>
      <c r="CR685" s="121" t="s">
        <v>844</v>
      </c>
      <c r="CS685" s="121" t="s">
        <v>844</v>
      </c>
      <c r="CT685" s="121" t="s">
        <v>844</v>
      </c>
      <c r="CU685" s="121" t="s">
        <v>844</v>
      </c>
      <c r="CV685" s="121" t="s">
        <v>844</v>
      </c>
      <c r="CW685" s="121" t="s">
        <v>844</v>
      </c>
      <c r="CX685" s="121" t="s">
        <v>844</v>
      </c>
      <c r="CY685" s="121" t="s">
        <v>844</v>
      </c>
      <c r="CZ685" s="121" t="s">
        <v>844</v>
      </c>
      <c r="DA685" s="121" t="s">
        <v>844</v>
      </c>
      <c r="DB685" s="121" t="s">
        <v>844</v>
      </c>
      <c r="DC685" s="121" t="s">
        <v>844</v>
      </c>
      <c r="DD685" s="121" t="s">
        <v>844</v>
      </c>
      <c r="DE685" s="121" t="s">
        <v>844</v>
      </c>
      <c r="DF685" s="121" t="s">
        <v>844</v>
      </c>
      <c r="DG685" s="121" t="s">
        <v>844</v>
      </c>
      <c r="DH685" s="121" t="s">
        <v>844</v>
      </c>
      <c r="DI685" s="121" t="s">
        <v>844</v>
      </c>
      <c r="DJ685" s="121" t="s">
        <v>844</v>
      </c>
      <c r="DK685" s="121" t="s">
        <v>844</v>
      </c>
      <c r="DL685" s="121" t="s">
        <v>844</v>
      </c>
      <c r="DM685" s="121" t="s">
        <v>844</v>
      </c>
      <c r="DN685" s="121" t="s">
        <v>844</v>
      </c>
      <c r="DO685" s="121" t="s">
        <v>844</v>
      </c>
      <c r="DP685" s="121" t="s">
        <v>844</v>
      </c>
      <c r="DQ685" s="121" t="s">
        <v>844</v>
      </c>
      <c r="DR685" s="121" t="s">
        <v>844</v>
      </c>
      <c r="DS685" s="121" t="s">
        <v>844</v>
      </c>
      <c r="DT685" s="121" t="s">
        <v>844</v>
      </c>
      <c r="DU685" s="121" t="s">
        <v>844</v>
      </c>
      <c r="DV685" s="121" t="s">
        <v>844</v>
      </c>
      <c r="DW685" s="121" t="s">
        <v>844</v>
      </c>
      <c r="DX685" s="121" t="s">
        <v>844</v>
      </c>
      <c r="DY685" s="121" t="s">
        <v>844</v>
      </c>
      <c r="DZ685" s="121" t="s">
        <v>844</v>
      </c>
      <c r="EA685" s="121" t="s">
        <v>844</v>
      </c>
      <c r="EB685" s="121" t="s">
        <v>844</v>
      </c>
      <c r="EC685" s="121" t="s">
        <v>844</v>
      </c>
      <c r="ED685" s="121" t="s">
        <v>844</v>
      </c>
      <c r="EE685" s="121" t="s">
        <v>844</v>
      </c>
      <c r="EF685" s="121" t="s">
        <v>844</v>
      </c>
      <c r="EG685" s="121" t="s">
        <v>844</v>
      </c>
      <c r="EH685" s="121" t="s">
        <v>844</v>
      </c>
      <c r="EI685" s="121" t="s">
        <v>844</v>
      </c>
      <c r="EJ685" s="121" t="s">
        <v>844</v>
      </c>
      <c r="EK685" s="121" t="s">
        <v>844</v>
      </c>
      <c r="EL685" s="121" t="s">
        <v>844</v>
      </c>
      <c r="EM685" s="121" t="s">
        <v>844</v>
      </c>
      <c r="EN685" s="121" t="s">
        <v>844</v>
      </c>
      <c r="EO685" s="121" t="s">
        <v>844</v>
      </c>
      <c r="EP685" s="121" t="s">
        <v>844</v>
      </c>
      <c r="EQ685" s="121" t="s">
        <v>844</v>
      </c>
      <c r="ER685" s="121" t="s">
        <v>844</v>
      </c>
      <c r="ES685" s="121" t="s">
        <v>844</v>
      </c>
      <c r="ET685" s="121" t="s">
        <v>844</v>
      </c>
      <c r="EU685" s="121" t="s">
        <v>844</v>
      </c>
      <c r="EV685" s="121" t="s">
        <v>844</v>
      </c>
      <c r="EW685" s="121" t="s">
        <v>844</v>
      </c>
      <c r="EX685" s="121" t="s">
        <v>844</v>
      </c>
      <c r="EY685" s="121" t="s">
        <v>844</v>
      </c>
      <c r="EZ685" s="121" t="s">
        <v>844</v>
      </c>
      <c r="FA685" s="121" t="s">
        <v>844</v>
      </c>
      <c r="FB685" s="121" t="s">
        <v>844</v>
      </c>
      <c r="FC685" s="121" t="s">
        <v>844</v>
      </c>
      <c r="FD685" s="121" t="s">
        <v>844</v>
      </c>
      <c r="FE685" s="121" t="s">
        <v>844</v>
      </c>
      <c r="FF685" s="121" t="s">
        <v>844</v>
      </c>
      <c r="FG685" s="121" t="s">
        <v>844</v>
      </c>
      <c r="FH685" s="121" t="s">
        <v>844</v>
      </c>
      <c r="FI685" s="121" t="s">
        <v>844</v>
      </c>
      <c r="FJ685" s="121" t="s">
        <v>844</v>
      </c>
      <c r="FK685" s="121" t="s">
        <v>844</v>
      </c>
      <c r="FL685" s="121" t="s">
        <v>844</v>
      </c>
      <c r="FM685" s="121" t="s">
        <v>844</v>
      </c>
      <c r="FN685" s="121" t="s">
        <v>844</v>
      </c>
      <c r="FO685" s="121" t="s">
        <v>844</v>
      </c>
      <c r="FP685" s="121" t="s">
        <v>844</v>
      </c>
      <c r="FQ685" s="121" t="s">
        <v>844</v>
      </c>
      <c r="FR685" s="121" t="s">
        <v>844</v>
      </c>
      <c r="FS685" s="121" t="s">
        <v>844</v>
      </c>
      <c r="FT685" s="121" t="s">
        <v>844</v>
      </c>
      <c r="FU685" s="121" t="s">
        <v>844</v>
      </c>
      <c r="FV685" s="121" t="s">
        <v>844</v>
      </c>
      <c r="FW685" s="121" t="s">
        <v>844</v>
      </c>
      <c r="FX685" s="121" t="s">
        <v>844</v>
      </c>
      <c r="FY685" s="121" t="s">
        <v>844</v>
      </c>
      <c r="FZ685" s="121" t="s">
        <v>844</v>
      </c>
      <c r="GA685" s="121" t="s">
        <v>844</v>
      </c>
      <c r="GB685" s="121" t="s">
        <v>844</v>
      </c>
      <c r="GC685" s="121" t="s">
        <v>844</v>
      </c>
      <c r="GD685" s="121" t="s">
        <v>844</v>
      </c>
      <c r="GE685" s="121" t="s">
        <v>844</v>
      </c>
      <c r="GF685" s="121" t="s">
        <v>844</v>
      </c>
      <c r="GG685" s="121" t="s">
        <v>844</v>
      </c>
      <c r="GH685" s="121" t="s">
        <v>844</v>
      </c>
      <c r="GI685" s="121" t="s">
        <v>844</v>
      </c>
      <c r="GJ685" s="121" t="s">
        <v>844</v>
      </c>
      <c r="GK685" s="121" t="s">
        <v>844</v>
      </c>
      <c r="GL685" s="121" t="s">
        <v>844</v>
      </c>
      <c r="GM685" s="121" t="s">
        <v>844</v>
      </c>
      <c r="GN685" s="121" t="s">
        <v>844</v>
      </c>
      <c r="GO685" s="121" t="s">
        <v>844</v>
      </c>
      <c r="GP685" s="121" t="s">
        <v>844</v>
      </c>
      <c r="GQ685" s="121" t="s">
        <v>844</v>
      </c>
      <c r="GR685" s="121" t="s">
        <v>844</v>
      </c>
      <c r="GS685" s="121" t="s">
        <v>844</v>
      </c>
      <c r="GT685" s="121" t="s">
        <v>844</v>
      </c>
      <c r="GU685" s="121" t="s">
        <v>844</v>
      </c>
      <c r="GV685" s="121" t="s">
        <v>844</v>
      </c>
      <c r="GW685" s="121" t="s">
        <v>844</v>
      </c>
      <c r="GX685" s="121" t="s">
        <v>844</v>
      </c>
      <c r="GY685" s="121" t="s">
        <v>844</v>
      </c>
      <c r="GZ685" s="121" t="s">
        <v>844</v>
      </c>
      <c r="HA685" s="121" t="s">
        <v>844</v>
      </c>
      <c r="HB685" s="121" t="s">
        <v>844</v>
      </c>
      <c r="HC685" s="121" t="s">
        <v>844</v>
      </c>
      <c r="HD685" s="121" t="s">
        <v>844</v>
      </c>
      <c r="HE685" s="121" t="s">
        <v>844</v>
      </c>
      <c r="HF685" s="121" t="s">
        <v>844</v>
      </c>
      <c r="HG685" s="121" t="s">
        <v>844</v>
      </c>
      <c r="HH685" s="121" t="s">
        <v>844</v>
      </c>
      <c r="HI685" s="121" t="s">
        <v>844</v>
      </c>
      <c r="HJ685" s="121" t="s">
        <v>844</v>
      </c>
      <c r="HK685" s="121" t="s">
        <v>844</v>
      </c>
      <c r="HL685" s="121" t="s">
        <v>844</v>
      </c>
      <c r="HM685" s="121" t="s">
        <v>844</v>
      </c>
      <c r="HN685" s="121" t="s">
        <v>844</v>
      </c>
      <c r="HO685" s="121" t="s">
        <v>844</v>
      </c>
      <c r="HP685" s="121" t="s">
        <v>844</v>
      </c>
      <c r="HQ685" s="121" t="s">
        <v>844</v>
      </c>
      <c r="HR685" s="121" t="s">
        <v>844</v>
      </c>
      <c r="HS685" s="121" t="s">
        <v>844</v>
      </c>
      <c r="HT685" s="121" t="s">
        <v>844</v>
      </c>
      <c r="HU685" s="121" t="s">
        <v>844</v>
      </c>
      <c r="HV685" s="121" t="s">
        <v>844</v>
      </c>
      <c r="HW685" s="121" t="s">
        <v>844</v>
      </c>
      <c r="HX685" s="121" t="s">
        <v>844</v>
      </c>
      <c r="HY685" s="121" t="s">
        <v>844</v>
      </c>
      <c r="HZ685" s="121" t="s">
        <v>844</v>
      </c>
      <c r="IA685" s="121" t="s">
        <v>844</v>
      </c>
      <c r="IB685" s="121" t="s">
        <v>844</v>
      </c>
      <c r="IC685" s="121" t="s">
        <v>844</v>
      </c>
      <c r="ID685" s="121" t="s">
        <v>844</v>
      </c>
      <c r="IE685" s="121" t="s">
        <v>844</v>
      </c>
      <c r="IF685" s="121" t="s">
        <v>844</v>
      </c>
      <c r="IG685" s="121" t="s">
        <v>844</v>
      </c>
      <c r="IH685" s="121" t="s">
        <v>844</v>
      </c>
      <c r="II685" s="121" t="s">
        <v>844</v>
      </c>
      <c r="IJ685" s="121" t="s">
        <v>844</v>
      </c>
      <c r="IK685" s="121" t="s">
        <v>844</v>
      </c>
      <c r="IL685" s="121" t="s">
        <v>844</v>
      </c>
      <c r="IM685" s="121" t="s">
        <v>844</v>
      </c>
      <c r="IN685" s="121" t="s">
        <v>844</v>
      </c>
      <c r="IO685" s="121" t="s">
        <v>844</v>
      </c>
      <c r="IP685" s="121" t="s">
        <v>844</v>
      </c>
      <c r="IQ685" s="121" t="s">
        <v>844</v>
      </c>
      <c r="IR685" s="121" t="s">
        <v>844</v>
      </c>
      <c r="IS685" s="121" t="s">
        <v>844</v>
      </c>
      <c r="IT685" s="121" t="s">
        <v>844</v>
      </c>
      <c r="IU685" s="121" t="s">
        <v>844</v>
      </c>
      <c r="IV685" s="121" t="s">
        <v>844</v>
      </c>
      <c r="IW685" s="121" t="s">
        <v>844</v>
      </c>
      <c r="IX685" s="121" t="s">
        <v>844</v>
      </c>
      <c r="IY685" s="121" t="s">
        <v>844</v>
      </c>
      <c r="IZ685" s="121" t="s">
        <v>844</v>
      </c>
      <c r="JA685" s="121" t="s">
        <v>844</v>
      </c>
      <c r="JB685" s="121" t="s">
        <v>844</v>
      </c>
      <c r="JC685" s="121" t="s">
        <v>844</v>
      </c>
      <c r="JD685" s="121" t="s">
        <v>844</v>
      </c>
      <c r="JE685" s="121" t="s">
        <v>844</v>
      </c>
      <c r="JF685" s="121" t="s">
        <v>844</v>
      </c>
      <c r="JG685" s="121" t="s">
        <v>844</v>
      </c>
      <c r="JH685" s="121" t="s">
        <v>844</v>
      </c>
      <c r="JI685" s="121" t="s">
        <v>844</v>
      </c>
      <c r="JJ685" s="121" t="s">
        <v>844</v>
      </c>
      <c r="JK685" s="121" t="s">
        <v>844</v>
      </c>
      <c r="JL685" s="121" t="s">
        <v>844</v>
      </c>
      <c r="JM685" s="121" t="s">
        <v>844</v>
      </c>
      <c r="JN685" s="121" t="s">
        <v>844</v>
      </c>
      <c r="JO685" s="121" t="s">
        <v>844</v>
      </c>
      <c r="JP685" s="121" t="s">
        <v>844</v>
      </c>
      <c r="JQ685" s="121" t="s">
        <v>844</v>
      </c>
      <c r="JR685" s="121" t="s">
        <v>844</v>
      </c>
      <c r="JS685" s="121" t="s">
        <v>844</v>
      </c>
      <c r="JT685" s="121" t="s">
        <v>844</v>
      </c>
      <c r="JU685" s="121" t="s">
        <v>844</v>
      </c>
      <c r="JV685" s="121" t="s">
        <v>844</v>
      </c>
      <c r="JW685" s="121" t="s">
        <v>844</v>
      </c>
      <c r="JX685" s="121" t="s">
        <v>844</v>
      </c>
      <c r="JY685" s="121" t="s">
        <v>844</v>
      </c>
      <c r="JZ685" s="121" t="s">
        <v>844</v>
      </c>
      <c r="KA685" s="121" t="s">
        <v>844</v>
      </c>
      <c r="KB685" s="121" t="s">
        <v>844</v>
      </c>
      <c r="KC685" s="121" t="s">
        <v>844</v>
      </c>
      <c r="KD685" s="121" t="s">
        <v>844</v>
      </c>
      <c r="KE685" s="121" t="s">
        <v>844</v>
      </c>
      <c r="KF685" s="121" t="s">
        <v>844</v>
      </c>
      <c r="KG685" s="121" t="s">
        <v>844</v>
      </c>
      <c r="KH685" s="121" t="s">
        <v>844</v>
      </c>
      <c r="KI685" s="121" t="s">
        <v>844</v>
      </c>
      <c r="KJ685" s="121" t="s">
        <v>844</v>
      </c>
      <c r="KK685" s="121" t="s">
        <v>844</v>
      </c>
      <c r="KL685" s="121" t="s">
        <v>844</v>
      </c>
      <c r="KM685" s="121" t="s">
        <v>844</v>
      </c>
      <c r="KN685" s="121" t="s">
        <v>844</v>
      </c>
      <c r="KO685" s="121" t="s">
        <v>844</v>
      </c>
      <c r="KP685" s="121" t="s">
        <v>844</v>
      </c>
      <c r="KQ685" s="121" t="s">
        <v>844</v>
      </c>
      <c r="KR685" s="121" t="s">
        <v>844</v>
      </c>
      <c r="KS685" s="121" t="s">
        <v>844</v>
      </c>
      <c r="KT685" s="121" t="s">
        <v>844</v>
      </c>
      <c r="KU685" s="121" t="s">
        <v>844</v>
      </c>
      <c r="KV685" s="121" t="s">
        <v>844</v>
      </c>
      <c r="KW685" s="121" t="s">
        <v>844</v>
      </c>
      <c r="KX685" s="121" t="s">
        <v>844</v>
      </c>
      <c r="KY685" s="121" t="s">
        <v>844</v>
      </c>
      <c r="KZ685" s="121" t="s">
        <v>844</v>
      </c>
      <c r="LA685" s="121" t="s">
        <v>844</v>
      </c>
      <c r="LB685" s="121" t="s">
        <v>844</v>
      </c>
      <c r="LC685" s="121" t="s">
        <v>844</v>
      </c>
      <c r="LD685" s="121" t="s">
        <v>844</v>
      </c>
      <c r="LE685" s="121" t="s">
        <v>844</v>
      </c>
      <c r="LF685" s="121" t="s">
        <v>844</v>
      </c>
      <c r="LG685" s="121" t="s">
        <v>844</v>
      </c>
      <c r="LH685" s="121" t="s">
        <v>844</v>
      </c>
      <c r="LI685" s="121" t="s">
        <v>844</v>
      </c>
      <c r="LJ685" s="121" t="s">
        <v>844</v>
      </c>
      <c r="LK685" s="121" t="s">
        <v>844</v>
      </c>
      <c r="LL685" s="121" t="s">
        <v>844</v>
      </c>
      <c r="LM685" s="121" t="s">
        <v>844</v>
      </c>
      <c r="LN685" s="121" t="s">
        <v>844</v>
      </c>
      <c r="LO685" s="121" t="s">
        <v>844</v>
      </c>
      <c r="LP685" s="121" t="s">
        <v>844</v>
      </c>
      <c r="LQ685" s="121" t="s">
        <v>844</v>
      </c>
      <c r="LR685" s="121" t="s">
        <v>844</v>
      </c>
      <c r="LS685" s="121" t="s">
        <v>844</v>
      </c>
      <c r="LT685" s="121" t="s">
        <v>844</v>
      </c>
      <c r="LU685" s="121" t="s">
        <v>844</v>
      </c>
      <c r="LV685" s="121" t="s">
        <v>844</v>
      </c>
      <c r="LW685" s="121" t="s">
        <v>844</v>
      </c>
      <c r="LX685" s="121" t="s">
        <v>844</v>
      </c>
      <c r="LY685" s="121" t="s">
        <v>844</v>
      </c>
      <c r="LZ685" s="121" t="s">
        <v>844</v>
      </c>
      <c r="MA685" s="121" t="s">
        <v>844</v>
      </c>
      <c r="MB685" s="121" t="s">
        <v>844</v>
      </c>
      <c r="MC685" s="121" t="s">
        <v>844</v>
      </c>
      <c r="MD685" s="121" t="s">
        <v>844</v>
      </c>
      <c r="ME685" s="121" t="s">
        <v>844</v>
      </c>
      <c r="MF685" s="121" t="s">
        <v>844</v>
      </c>
      <c r="MG685" s="121" t="s">
        <v>844</v>
      </c>
      <c r="MH685" s="121" t="s">
        <v>844</v>
      </c>
      <c r="MI685" s="121" t="s">
        <v>844</v>
      </c>
      <c r="MJ685" s="121" t="s">
        <v>844</v>
      </c>
      <c r="MK685" s="121" t="s">
        <v>844</v>
      </c>
      <c r="ML685" s="121" t="s">
        <v>844</v>
      </c>
      <c r="MM685" s="121" t="s">
        <v>844</v>
      </c>
      <c r="MN685" s="121" t="s">
        <v>844</v>
      </c>
      <c r="MO685" s="121" t="s">
        <v>844</v>
      </c>
      <c r="MP685" s="121" t="s">
        <v>844</v>
      </c>
      <c r="MQ685" s="121" t="s">
        <v>844</v>
      </c>
      <c r="MR685" s="121" t="s">
        <v>844</v>
      </c>
      <c r="MS685" s="121" t="s">
        <v>844</v>
      </c>
      <c r="MT685" s="121" t="s">
        <v>844</v>
      </c>
      <c r="MU685" s="121" t="s">
        <v>844</v>
      </c>
      <c r="MV685" s="121" t="s">
        <v>844</v>
      </c>
      <c r="MW685" s="121" t="s">
        <v>844</v>
      </c>
      <c r="MX685" s="121" t="s">
        <v>844</v>
      </c>
      <c r="MY685" s="121" t="s">
        <v>844</v>
      </c>
      <c r="MZ685" s="121" t="s">
        <v>844</v>
      </c>
      <c r="NA685" s="121" t="s">
        <v>844</v>
      </c>
      <c r="NB685" s="121" t="s">
        <v>844</v>
      </c>
      <c r="NC685" s="121" t="s">
        <v>844</v>
      </c>
      <c r="ND685" s="121" t="s">
        <v>844</v>
      </c>
      <c r="NE685" s="121" t="s">
        <v>844</v>
      </c>
      <c r="NF685" s="121" t="s">
        <v>844</v>
      </c>
      <c r="NG685" s="121" t="s">
        <v>844</v>
      </c>
      <c r="NH685" s="121" t="s">
        <v>844</v>
      </c>
      <c r="NI685" s="121" t="s">
        <v>844</v>
      </c>
      <c r="NJ685" s="121" t="s">
        <v>844</v>
      </c>
      <c r="NK685" s="121" t="s">
        <v>844</v>
      </c>
      <c r="NL685" s="121" t="s">
        <v>844</v>
      </c>
      <c r="NM685" s="121" t="s">
        <v>844</v>
      </c>
      <c r="NN685" s="121" t="s">
        <v>844</v>
      </c>
      <c r="NO685" s="121" t="s">
        <v>844</v>
      </c>
      <c r="NP685" s="121" t="s">
        <v>844</v>
      </c>
      <c r="NQ685" s="121" t="s">
        <v>844</v>
      </c>
      <c r="NR685" s="121" t="s">
        <v>844</v>
      </c>
      <c r="NS685" s="121" t="s">
        <v>844</v>
      </c>
      <c r="NT685" s="121" t="s">
        <v>844</v>
      </c>
      <c r="NU685" s="121" t="s">
        <v>844</v>
      </c>
      <c r="NV685" s="121" t="s">
        <v>844</v>
      </c>
      <c r="NW685" s="121" t="s">
        <v>844</v>
      </c>
      <c r="NX685" s="121" t="s">
        <v>844</v>
      </c>
      <c r="NY685" s="121" t="s">
        <v>844</v>
      </c>
      <c r="NZ685" s="121" t="s">
        <v>844</v>
      </c>
      <c r="OA685" s="121" t="s">
        <v>844</v>
      </c>
      <c r="OB685" s="121" t="s">
        <v>844</v>
      </c>
      <c r="OC685" s="121" t="s">
        <v>844</v>
      </c>
      <c r="OD685" s="121" t="s">
        <v>844</v>
      </c>
      <c r="OE685" s="121" t="s">
        <v>844</v>
      </c>
      <c r="OF685" s="121" t="s">
        <v>844</v>
      </c>
      <c r="OG685" s="121" t="s">
        <v>844</v>
      </c>
      <c r="OH685" s="121" t="s">
        <v>844</v>
      </c>
      <c r="OI685" s="121" t="s">
        <v>844</v>
      </c>
      <c r="OJ685" s="121" t="s">
        <v>844</v>
      </c>
      <c r="OK685" s="121" t="s">
        <v>844</v>
      </c>
      <c r="OL685" s="121" t="s">
        <v>844</v>
      </c>
      <c r="OM685" s="121" t="s">
        <v>844</v>
      </c>
      <c r="ON685" s="121" t="s">
        <v>844</v>
      </c>
      <c r="OO685" s="121" t="s">
        <v>844</v>
      </c>
      <c r="OP685" s="121" t="s">
        <v>844</v>
      </c>
      <c r="OQ685" s="121" t="s">
        <v>844</v>
      </c>
      <c r="OR685" s="121" t="s">
        <v>844</v>
      </c>
      <c r="OS685" s="121" t="s">
        <v>844</v>
      </c>
      <c r="OT685" s="121" t="s">
        <v>844</v>
      </c>
      <c r="OU685" s="121" t="s">
        <v>844</v>
      </c>
      <c r="OV685" s="121" t="s">
        <v>844</v>
      </c>
      <c r="OW685" s="121" t="s">
        <v>844</v>
      </c>
      <c r="OX685" s="121" t="s">
        <v>844</v>
      </c>
      <c r="OY685" s="121" t="s">
        <v>844</v>
      </c>
      <c r="OZ685" s="121" t="s">
        <v>844</v>
      </c>
      <c r="PA685" s="121" t="s">
        <v>844</v>
      </c>
      <c r="PB685" s="121" t="s">
        <v>844</v>
      </c>
      <c r="PC685" s="121" t="s">
        <v>844</v>
      </c>
      <c r="PD685" s="121" t="s">
        <v>844</v>
      </c>
      <c r="PE685" s="121" t="s">
        <v>844</v>
      </c>
      <c r="PF685" s="121" t="s">
        <v>844</v>
      </c>
      <c r="PG685" s="121" t="s">
        <v>844</v>
      </c>
      <c r="PH685" s="121" t="s">
        <v>844</v>
      </c>
      <c r="PI685" s="121" t="s">
        <v>844</v>
      </c>
      <c r="PJ685" s="121" t="s">
        <v>844</v>
      </c>
      <c r="PK685" s="121" t="s">
        <v>844</v>
      </c>
      <c r="PL685" s="121" t="s">
        <v>844</v>
      </c>
      <c r="PM685" s="121" t="s">
        <v>844</v>
      </c>
      <c r="PN685" s="121" t="s">
        <v>844</v>
      </c>
      <c r="PO685" s="121" t="s">
        <v>844</v>
      </c>
      <c r="PP685" s="121" t="s">
        <v>844</v>
      </c>
      <c r="PQ685" s="121" t="s">
        <v>844</v>
      </c>
      <c r="PR685" s="121" t="s">
        <v>844</v>
      </c>
      <c r="PS685" s="121" t="s">
        <v>844</v>
      </c>
      <c r="PT685" s="121" t="s">
        <v>844</v>
      </c>
      <c r="PU685" s="121" t="s">
        <v>844</v>
      </c>
      <c r="PV685" s="121" t="s">
        <v>844</v>
      </c>
      <c r="PW685" s="121" t="s">
        <v>844</v>
      </c>
      <c r="PX685" s="121" t="s">
        <v>844</v>
      </c>
      <c r="PY685" s="121" t="s">
        <v>844</v>
      </c>
      <c r="PZ685" s="121" t="s">
        <v>844</v>
      </c>
      <c r="QA685" s="121" t="s">
        <v>844</v>
      </c>
      <c r="QB685" s="121" t="s">
        <v>844</v>
      </c>
      <c r="QC685" s="121" t="s">
        <v>844</v>
      </c>
      <c r="QD685" s="121" t="s">
        <v>844</v>
      </c>
      <c r="QE685" s="121" t="s">
        <v>844</v>
      </c>
      <c r="QF685" s="121" t="s">
        <v>844</v>
      </c>
      <c r="QG685" s="121" t="s">
        <v>844</v>
      </c>
      <c r="QH685" s="121" t="s">
        <v>844</v>
      </c>
      <c r="QI685" s="121" t="s">
        <v>844</v>
      </c>
      <c r="QJ685" s="121" t="s">
        <v>844</v>
      </c>
      <c r="QK685" s="121" t="s">
        <v>844</v>
      </c>
      <c r="QL685" s="121" t="s">
        <v>844</v>
      </c>
      <c r="QM685" s="121" t="s">
        <v>844</v>
      </c>
      <c r="QN685" s="121" t="s">
        <v>844</v>
      </c>
      <c r="QO685" s="121" t="s">
        <v>844</v>
      </c>
      <c r="QP685" s="121" t="s">
        <v>844</v>
      </c>
      <c r="QQ685" s="121" t="s">
        <v>844</v>
      </c>
      <c r="QR685" s="121" t="s">
        <v>844</v>
      </c>
      <c r="QS685" s="121" t="s">
        <v>844</v>
      </c>
      <c r="QT685" s="121" t="s">
        <v>844</v>
      </c>
      <c r="QU685" s="121" t="s">
        <v>844</v>
      </c>
      <c r="QV685" s="121" t="s">
        <v>844</v>
      </c>
      <c r="QW685" s="121" t="s">
        <v>844</v>
      </c>
      <c r="QX685" s="121" t="s">
        <v>844</v>
      </c>
      <c r="QY685" s="121" t="s">
        <v>844</v>
      </c>
      <c r="QZ685" s="121" t="s">
        <v>844</v>
      </c>
      <c r="RA685" s="121" t="s">
        <v>844</v>
      </c>
      <c r="RB685" s="121" t="s">
        <v>844</v>
      </c>
      <c r="RC685" s="121" t="s">
        <v>844</v>
      </c>
      <c r="RD685" s="121" t="s">
        <v>844</v>
      </c>
      <c r="RE685" s="121" t="s">
        <v>844</v>
      </c>
      <c r="RF685" s="121" t="s">
        <v>844</v>
      </c>
      <c r="RG685" s="121" t="s">
        <v>844</v>
      </c>
      <c r="RH685" s="121" t="s">
        <v>844</v>
      </c>
      <c r="RI685" s="121" t="s">
        <v>844</v>
      </c>
      <c r="RJ685" s="121" t="s">
        <v>844</v>
      </c>
      <c r="RK685" s="121" t="s">
        <v>844</v>
      </c>
      <c r="RL685" s="121" t="s">
        <v>844</v>
      </c>
      <c r="RM685" s="121" t="s">
        <v>844</v>
      </c>
      <c r="RN685" s="121" t="s">
        <v>844</v>
      </c>
      <c r="RO685" s="121" t="s">
        <v>844</v>
      </c>
      <c r="RP685" s="121" t="s">
        <v>844</v>
      </c>
      <c r="RQ685" s="121" t="s">
        <v>844</v>
      </c>
      <c r="RR685" s="121" t="s">
        <v>844</v>
      </c>
      <c r="RS685" s="121" t="s">
        <v>844</v>
      </c>
      <c r="RT685" s="121" t="s">
        <v>844</v>
      </c>
      <c r="RU685" s="121" t="s">
        <v>844</v>
      </c>
      <c r="RV685" s="121" t="s">
        <v>844</v>
      </c>
      <c r="RW685" s="121" t="s">
        <v>844</v>
      </c>
      <c r="RX685" s="121" t="s">
        <v>844</v>
      </c>
      <c r="RY685" s="121" t="s">
        <v>844</v>
      </c>
      <c r="RZ685" s="121" t="s">
        <v>844</v>
      </c>
      <c r="SA685" s="121" t="s">
        <v>844</v>
      </c>
      <c r="SB685" s="121" t="s">
        <v>844</v>
      </c>
      <c r="SC685" s="121" t="s">
        <v>844</v>
      </c>
      <c r="SD685" s="121" t="s">
        <v>844</v>
      </c>
      <c r="SE685" s="121" t="s">
        <v>844</v>
      </c>
      <c r="SF685" s="121" t="s">
        <v>844</v>
      </c>
      <c r="SG685" s="121" t="s">
        <v>844</v>
      </c>
      <c r="SH685" s="121" t="s">
        <v>844</v>
      </c>
      <c r="SI685" s="121" t="s">
        <v>844</v>
      </c>
      <c r="SJ685" s="121" t="s">
        <v>844</v>
      </c>
      <c r="SK685" s="121" t="s">
        <v>844</v>
      </c>
      <c r="SL685" s="121" t="s">
        <v>844</v>
      </c>
      <c r="SM685" s="121" t="s">
        <v>844</v>
      </c>
      <c r="SN685" s="121" t="s">
        <v>844</v>
      </c>
      <c r="SO685" s="121" t="s">
        <v>844</v>
      </c>
      <c r="SP685" s="121" t="s">
        <v>844</v>
      </c>
      <c r="SQ685" s="121" t="s">
        <v>844</v>
      </c>
      <c r="SR685" s="121" t="s">
        <v>844</v>
      </c>
      <c r="SS685" s="121" t="s">
        <v>844</v>
      </c>
      <c r="ST685" s="121" t="s">
        <v>844</v>
      </c>
      <c r="SU685" s="121" t="s">
        <v>844</v>
      </c>
      <c r="SV685" s="121" t="s">
        <v>844</v>
      </c>
      <c r="SW685" s="121" t="s">
        <v>844</v>
      </c>
      <c r="SX685" s="121" t="s">
        <v>844</v>
      </c>
      <c r="SY685" s="121" t="s">
        <v>844</v>
      </c>
      <c r="SZ685" s="121" t="s">
        <v>844</v>
      </c>
      <c r="TA685" s="121" t="s">
        <v>844</v>
      </c>
      <c r="TB685" s="121" t="s">
        <v>844</v>
      </c>
      <c r="TC685" s="121" t="s">
        <v>844</v>
      </c>
      <c r="TD685" s="121" t="s">
        <v>844</v>
      </c>
      <c r="TE685" s="121" t="s">
        <v>844</v>
      </c>
      <c r="TF685" s="121" t="s">
        <v>844</v>
      </c>
      <c r="TG685" s="121" t="s">
        <v>844</v>
      </c>
      <c r="TH685" s="121" t="s">
        <v>844</v>
      </c>
      <c r="TI685" s="121" t="s">
        <v>844</v>
      </c>
      <c r="TJ685" s="121" t="s">
        <v>844</v>
      </c>
      <c r="TK685" s="121" t="s">
        <v>844</v>
      </c>
      <c r="TL685" s="121" t="s">
        <v>844</v>
      </c>
      <c r="TM685" s="121" t="s">
        <v>844</v>
      </c>
      <c r="TN685" s="121" t="s">
        <v>844</v>
      </c>
      <c r="TO685" s="121" t="s">
        <v>844</v>
      </c>
      <c r="TP685" s="121" t="s">
        <v>844</v>
      </c>
      <c r="TQ685" s="121" t="s">
        <v>844</v>
      </c>
      <c r="TR685" s="121" t="s">
        <v>844</v>
      </c>
      <c r="TS685" s="121" t="s">
        <v>844</v>
      </c>
      <c r="TT685" s="121" t="s">
        <v>844</v>
      </c>
      <c r="TU685" s="121" t="s">
        <v>844</v>
      </c>
      <c r="TV685" s="121" t="s">
        <v>844</v>
      </c>
      <c r="TW685" s="121" t="s">
        <v>844</v>
      </c>
      <c r="TX685" s="121" t="s">
        <v>844</v>
      </c>
      <c r="TY685" s="121" t="s">
        <v>844</v>
      </c>
      <c r="TZ685" s="121" t="s">
        <v>844</v>
      </c>
      <c r="UA685" s="121" t="s">
        <v>844</v>
      </c>
      <c r="UB685" s="121" t="s">
        <v>844</v>
      </c>
      <c r="UC685" s="121" t="s">
        <v>844</v>
      </c>
      <c r="UD685" s="121" t="s">
        <v>844</v>
      </c>
      <c r="UE685" s="121" t="s">
        <v>844</v>
      </c>
      <c r="UF685" s="121" t="s">
        <v>844</v>
      </c>
      <c r="UG685" s="121" t="s">
        <v>844</v>
      </c>
      <c r="UH685" s="121" t="s">
        <v>844</v>
      </c>
      <c r="UI685" s="121" t="s">
        <v>844</v>
      </c>
      <c r="UJ685" s="121" t="s">
        <v>844</v>
      </c>
      <c r="UK685" s="121" t="s">
        <v>844</v>
      </c>
      <c r="UL685" s="121" t="s">
        <v>844</v>
      </c>
      <c r="UM685" s="121" t="s">
        <v>844</v>
      </c>
      <c r="UN685" s="121" t="s">
        <v>844</v>
      </c>
      <c r="UO685" s="121" t="s">
        <v>844</v>
      </c>
      <c r="UP685" s="121" t="s">
        <v>844</v>
      </c>
      <c r="UQ685" s="121" t="s">
        <v>844</v>
      </c>
      <c r="UR685" s="121" t="s">
        <v>844</v>
      </c>
      <c r="US685" s="121" t="s">
        <v>844</v>
      </c>
      <c r="UT685" s="121" t="s">
        <v>844</v>
      </c>
      <c r="UU685" s="121" t="s">
        <v>844</v>
      </c>
      <c r="UV685" s="121" t="s">
        <v>844</v>
      </c>
      <c r="UW685" s="121" t="s">
        <v>844</v>
      </c>
      <c r="UX685" s="121" t="s">
        <v>844</v>
      </c>
      <c r="UY685" s="121" t="s">
        <v>844</v>
      </c>
      <c r="UZ685" s="121" t="s">
        <v>844</v>
      </c>
      <c r="VA685" s="121" t="s">
        <v>844</v>
      </c>
      <c r="VB685" s="121" t="s">
        <v>844</v>
      </c>
      <c r="VC685" s="121" t="s">
        <v>844</v>
      </c>
      <c r="VD685" s="121" t="s">
        <v>844</v>
      </c>
      <c r="VE685" s="121" t="s">
        <v>844</v>
      </c>
      <c r="VF685" s="121" t="s">
        <v>844</v>
      </c>
      <c r="VG685" s="121" t="s">
        <v>844</v>
      </c>
      <c r="VH685" s="121" t="s">
        <v>844</v>
      </c>
      <c r="VI685" s="121" t="s">
        <v>844</v>
      </c>
      <c r="VJ685" s="121" t="s">
        <v>844</v>
      </c>
      <c r="VK685" s="121" t="s">
        <v>844</v>
      </c>
      <c r="VL685" s="121" t="s">
        <v>844</v>
      </c>
      <c r="VM685" s="121" t="s">
        <v>844</v>
      </c>
      <c r="VN685" s="121" t="s">
        <v>844</v>
      </c>
      <c r="VO685" s="121" t="s">
        <v>844</v>
      </c>
      <c r="VP685" s="121" t="s">
        <v>844</v>
      </c>
      <c r="VQ685" s="121" t="s">
        <v>844</v>
      </c>
      <c r="VR685" s="121" t="s">
        <v>844</v>
      </c>
      <c r="VS685" s="121" t="s">
        <v>844</v>
      </c>
      <c r="VT685" s="121" t="s">
        <v>844</v>
      </c>
      <c r="VU685" s="121" t="s">
        <v>844</v>
      </c>
      <c r="VV685" s="121" t="s">
        <v>844</v>
      </c>
      <c r="VW685" s="121" t="s">
        <v>844</v>
      </c>
      <c r="VX685" s="121" t="s">
        <v>844</v>
      </c>
      <c r="VY685" s="121" t="s">
        <v>844</v>
      </c>
      <c r="VZ685" s="121" t="s">
        <v>844</v>
      </c>
      <c r="WA685" s="121" t="s">
        <v>844</v>
      </c>
      <c r="WB685" s="121" t="s">
        <v>844</v>
      </c>
      <c r="WC685" s="121" t="s">
        <v>844</v>
      </c>
      <c r="WD685" s="121" t="s">
        <v>844</v>
      </c>
      <c r="WE685" s="121" t="s">
        <v>844</v>
      </c>
      <c r="WF685" s="121" t="s">
        <v>844</v>
      </c>
      <c r="WG685" s="121" t="s">
        <v>844</v>
      </c>
      <c r="WH685" s="121" t="s">
        <v>844</v>
      </c>
      <c r="WI685" s="121" t="s">
        <v>844</v>
      </c>
      <c r="WJ685" s="121" t="s">
        <v>844</v>
      </c>
      <c r="WK685" s="121" t="s">
        <v>844</v>
      </c>
      <c r="WL685" s="121" t="s">
        <v>844</v>
      </c>
      <c r="WM685" s="121" t="s">
        <v>844</v>
      </c>
      <c r="WN685" s="121" t="s">
        <v>844</v>
      </c>
      <c r="WO685" s="121" t="s">
        <v>844</v>
      </c>
      <c r="WP685" s="121" t="s">
        <v>844</v>
      </c>
      <c r="WQ685" s="121" t="s">
        <v>844</v>
      </c>
      <c r="WR685" s="121" t="s">
        <v>844</v>
      </c>
      <c r="WS685" s="121" t="s">
        <v>844</v>
      </c>
      <c r="WT685" s="121" t="s">
        <v>844</v>
      </c>
      <c r="WU685" s="121" t="s">
        <v>844</v>
      </c>
      <c r="WV685" s="121" t="s">
        <v>844</v>
      </c>
      <c r="WW685" s="121" t="s">
        <v>844</v>
      </c>
      <c r="WX685" s="121" t="s">
        <v>844</v>
      </c>
      <c r="WY685" s="121" t="s">
        <v>844</v>
      </c>
      <c r="WZ685" s="121" t="s">
        <v>844</v>
      </c>
      <c r="XA685" s="121" t="s">
        <v>844</v>
      </c>
      <c r="XB685" s="121" t="s">
        <v>844</v>
      </c>
      <c r="XC685" s="121" t="s">
        <v>844</v>
      </c>
      <c r="XD685" s="121" t="s">
        <v>844</v>
      </c>
      <c r="XE685" s="121" t="s">
        <v>844</v>
      </c>
      <c r="XF685" s="121" t="s">
        <v>844</v>
      </c>
      <c r="XG685" s="121" t="s">
        <v>844</v>
      </c>
      <c r="XH685" s="121" t="s">
        <v>844</v>
      </c>
      <c r="XI685" s="121" t="s">
        <v>844</v>
      </c>
      <c r="XJ685" s="121" t="s">
        <v>844</v>
      </c>
      <c r="XK685" s="121" t="s">
        <v>844</v>
      </c>
      <c r="XL685" s="121" t="s">
        <v>844</v>
      </c>
      <c r="XM685" s="121" t="s">
        <v>844</v>
      </c>
      <c r="XN685" s="121" t="s">
        <v>844</v>
      </c>
      <c r="XO685" s="121" t="s">
        <v>844</v>
      </c>
      <c r="XP685" s="121" t="s">
        <v>844</v>
      </c>
      <c r="XQ685" s="121" t="s">
        <v>844</v>
      </c>
      <c r="XR685" s="121" t="s">
        <v>844</v>
      </c>
      <c r="XS685" s="121" t="s">
        <v>844</v>
      </c>
      <c r="XT685" s="121" t="s">
        <v>844</v>
      </c>
      <c r="XU685" s="121" t="s">
        <v>844</v>
      </c>
      <c r="XV685" s="121" t="s">
        <v>844</v>
      </c>
      <c r="XW685" s="121" t="s">
        <v>844</v>
      </c>
      <c r="XX685" s="121" t="s">
        <v>844</v>
      </c>
      <c r="XY685" s="121" t="s">
        <v>844</v>
      </c>
      <c r="XZ685" s="121" t="s">
        <v>844</v>
      </c>
      <c r="YA685" s="121" t="s">
        <v>844</v>
      </c>
      <c r="YB685" s="121" t="s">
        <v>844</v>
      </c>
      <c r="YC685" s="121" t="s">
        <v>844</v>
      </c>
      <c r="YD685" s="121" t="s">
        <v>844</v>
      </c>
      <c r="YE685" s="121" t="s">
        <v>844</v>
      </c>
      <c r="YF685" s="121" t="s">
        <v>844</v>
      </c>
      <c r="YG685" s="121" t="s">
        <v>844</v>
      </c>
      <c r="YH685" s="121" t="s">
        <v>844</v>
      </c>
      <c r="YI685" s="121" t="s">
        <v>844</v>
      </c>
      <c r="YJ685" s="121" t="s">
        <v>844</v>
      </c>
      <c r="YK685" s="121" t="s">
        <v>844</v>
      </c>
      <c r="YL685" s="121" t="s">
        <v>844</v>
      </c>
      <c r="YM685" s="121" t="s">
        <v>844</v>
      </c>
      <c r="YN685" s="121" t="s">
        <v>844</v>
      </c>
      <c r="YO685" s="121" t="s">
        <v>844</v>
      </c>
      <c r="YP685" s="121" t="s">
        <v>844</v>
      </c>
      <c r="YQ685" s="121" t="s">
        <v>844</v>
      </c>
      <c r="YR685" s="121" t="s">
        <v>844</v>
      </c>
      <c r="YS685" s="121" t="s">
        <v>844</v>
      </c>
      <c r="YT685" s="121" t="s">
        <v>844</v>
      </c>
      <c r="YU685" s="121" t="s">
        <v>844</v>
      </c>
      <c r="YV685" s="121" t="s">
        <v>844</v>
      </c>
      <c r="YW685" s="121" t="s">
        <v>844</v>
      </c>
      <c r="YX685" s="121" t="s">
        <v>844</v>
      </c>
      <c r="YY685" s="121" t="s">
        <v>844</v>
      </c>
      <c r="YZ685" s="121" t="s">
        <v>844</v>
      </c>
      <c r="ZA685" s="121" t="s">
        <v>844</v>
      </c>
      <c r="ZB685" s="121" t="s">
        <v>844</v>
      </c>
      <c r="ZC685" s="121" t="s">
        <v>844</v>
      </c>
      <c r="ZD685" s="121" t="s">
        <v>844</v>
      </c>
      <c r="ZE685" s="121" t="s">
        <v>844</v>
      </c>
      <c r="ZF685" s="121" t="s">
        <v>844</v>
      </c>
      <c r="ZG685" s="121" t="s">
        <v>844</v>
      </c>
      <c r="ZH685" s="121" t="s">
        <v>844</v>
      </c>
      <c r="ZI685" s="121" t="s">
        <v>844</v>
      </c>
      <c r="ZJ685" s="121" t="s">
        <v>844</v>
      </c>
      <c r="ZK685" s="121" t="s">
        <v>844</v>
      </c>
      <c r="ZL685" s="121" t="s">
        <v>844</v>
      </c>
      <c r="ZM685" s="121" t="s">
        <v>844</v>
      </c>
      <c r="ZN685" s="121" t="s">
        <v>844</v>
      </c>
      <c r="ZO685" s="121" t="s">
        <v>844</v>
      </c>
      <c r="ZP685" s="121" t="s">
        <v>844</v>
      </c>
      <c r="ZQ685" s="121" t="s">
        <v>844</v>
      </c>
      <c r="ZR685" s="121" t="s">
        <v>844</v>
      </c>
      <c r="ZS685" s="121" t="s">
        <v>844</v>
      </c>
      <c r="ZT685" s="121" t="s">
        <v>844</v>
      </c>
      <c r="ZU685" s="121" t="s">
        <v>844</v>
      </c>
      <c r="ZV685" s="121" t="s">
        <v>844</v>
      </c>
      <c r="ZW685" s="121" t="s">
        <v>844</v>
      </c>
      <c r="ZX685" s="121" t="s">
        <v>844</v>
      </c>
      <c r="ZY685" s="121" t="s">
        <v>844</v>
      </c>
      <c r="ZZ685" s="121" t="s">
        <v>844</v>
      </c>
      <c r="AAA685" s="121" t="s">
        <v>844</v>
      </c>
      <c r="AAB685" s="121" t="s">
        <v>844</v>
      </c>
      <c r="AAC685" s="121" t="s">
        <v>844</v>
      </c>
      <c r="AAD685" s="121" t="s">
        <v>844</v>
      </c>
      <c r="AAE685" s="121" t="s">
        <v>844</v>
      </c>
      <c r="AAF685" s="121" t="s">
        <v>844</v>
      </c>
      <c r="AAG685" s="121" t="s">
        <v>844</v>
      </c>
      <c r="AAH685" s="121" t="s">
        <v>844</v>
      </c>
      <c r="AAI685" s="121" t="s">
        <v>844</v>
      </c>
      <c r="AAJ685" s="121" t="s">
        <v>844</v>
      </c>
      <c r="AAK685" s="121" t="s">
        <v>844</v>
      </c>
      <c r="AAL685" s="121" t="s">
        <v>844</v>
      </c>
      <c r="AAM685" s="121" t="s">
        <v>844</v>
      </c>
      <c r="AAN685" s="121" t="s">
        <v>844</v>
      </c>
      <c r="AAO685" s="121" t="s">
        <v>844</v>
      </c>
      <c r="AAP685" s="121" t="s">
        <v>844</v>
      </c>
      <c r="AAQ685" s="121" t="s">
        <v>844</v>
      </c>
      <c r="AAR685" s="121" t="s">
        <v>844</v>
      </c>
      <c r="AAS685" s="121" t="s">
        <v>844</v>
      </c>
      <c r="AAT685" s="121" t="s">
        <v>844</v>
      </c>
      <c r="AAU685" s="121" t="s">
        <v>844</v>
      </c>
      <c r="AAV685" s="121" t="s">
        <v>844</v>
      </c>
      <c r="AAW685" s="121" t="s">
        <v>844</v>
      </c>
      <c r="AAX685" s="121" t="s">
        <v>844</v>
      </c>
      <c r="AAY685" s="121" t="s">
        <v>844</v>
      </c>
      <c r="AAZ685" s="121" t="s">
        <v>844</v>
      </c>
      <c r="ABA685" s="121" t="s">
        <v>844</v>
      </c>
      <c r="ABB685" s="121" t="s">
        <v>844</v>
      </c>
      <c r="ABC685" s="121" t="s">
        <v>844</v>
      </c>
      <c r="ABD685" s="121" t="s">
        <v>844</v>
      </c>
      <c r="ABE685" s="121" t="s">
        <v>844</v>
      </c>
      <c r="ABF685" s="121" t="s">
        <v>844</v>
      </c>
      <c r="ABG685" s="121" t="s">
        <v>844</v>
      </c>
      <c r="ABH685" s="121" t="s">
        <v>844</v>
      </c>
      <c r="ABI685" s="121" t="s">
        <v>844</v>
      </c>
      <c r="ABJ685" s="121" t="s">
        <v>844</v>
      </c>
      <c r="ABK685" s="121" t="s">
        <v>844</v>
      </c>
      <c r="ABL685" s="121" t="s">
        <v>844</v>
      </c>
      <c r="ABM685" s="121" t="s">
        <v>844</v>
      </c>
      <c r="ABN685" s="121" t="s">
        <v>844</v>
      </c>
      <c r="ABO685" s="121" t="s">
        <v>844</v>
      </c>
      <c r="ABP685" s="121" t="s">
        <v>844</v>
      </c>
      <c r="ABQ685" s="121" t="s">
        <v>844</v>
      </c>
      <c r="ABR685" s="121" t="s">
        <v>844</v>
      </c>
      <c r="ABS685" s="121" t="s">
        <v>844</v>
      </c>
      <c r="ABT685" s="121" t="s">
        <v>844</v>
      </c>
      <c r="ABU685" s="121" t="s">
        <v>844</v>
      </c>
      <c r="ABV685" s="121" t="s">
        <v>844</v>
      </c>
      <c r="ABW685" s="121" t="s">
        <v>844</v>
      </c>
      <c r="ABX685" s="121" t="s">
        <v>844</v>
      </c>
      <c r="ABY685" s="121" t="s">
        <v>844</v>
      </c>
      <c r="ABZ685" s="121" t="s">
        <v>844</v>
      </c>
      <c r="ACA685" s="121" t="s">
        <v>844</v>
      </c>
      <c r="ACB685" s="121" t="s">
        <v>844</v>
      </c>
      <c r="ACC685" s="121" t="s">
        <v>844</v>
      </c>
      <c r="ACD685" s="121" t="s">
        <v>844</v>
      </c>
      <c r="ACE685" s="121" t="s">
        <v>844</v>
      </c>
      <c r="ACF685" s="121" t="s">
        <v>844</v>
      </c>
      <c r="ACG685" s="121" t="s">
        <v>844</v>
      </c>
      <c r="ACH685" s="121" t="s">
        <v>844</v>
      </c>
      <c r="ACI685" s="121" t="s">
        <v>844</v>
      </c>
      <c r="ACJ685" s="121" t="s">
        <v>844</v>
      </c>
      <c r="ACK685" s="121" t="s">
        <v>844</v>
      </c>
      <c r="ACL685" s="121" t="s">
        <v>844</v>
      </c>
      <c r="ACM685" s="121" t="s">
        <v>844</v>
      </c>
      <c r="ACN685" s="121" t="s">
        <v>844</v>
      </c>
      <c r="ACO685" s="121" t="s">
        <v>844</v>
      </c>
      <c r="ACP685" s="121" t="s">
        <v>844</v>
      </c>
      <c r="ACQ685" s="121" t="s">
        <v>844</v>
      </c>
      <c r="ACR685" s="121" t="s">
        <v>844</v>
      </c>
      <c r="ACS685" s="121" t="s">
        <v>844</v>
      </c>
      <c r="ACT685" s="121" t="s">
        <v>844</v>
      </c>
      <c r="ACU685" s="121" t="s">
        <v>844</v>
      </c>
      <c r="ACV685" s="121" t="s">
        <v>844</v>
      </c>
      <c r="ACW685" s="121" t="s">
        <v>844</v>
      </c>
      <c r="ACX685" s="121" t="s">
        <v>844</v>
      </c>
      <c r="ACY685" s="121" t="s">
        <v>844</v>
      </c>
      <c r="ACZ685" s="121" t="s">
        <v>844</v>
      </c>
      <c r="ADA685" s="121" t="s">
        <v>844</v>
      </c>
      <c r="ADB685" s="121" t="s">
        <v>844</v>
      </c>
      <c r="ADC685" s="121" t="s">
        <v>844</v>
      </c>
      <c r="ADD685" s="121" t="s">
        <v>844</v>
      </c>
      <c r="ADE685" s="121" t="s">
        <v>844</v>
      </c>
      <c r="ADF685" s="121" t="s">
        <v>844</v>
      </c>
      <c r="ADG685" s="121" t="s">
        <v>844</v>
      </c>
      <c r="ADH685" s="121" t="s">
        <v>844</v>
      </c>
      <c r="ADI685" s="121" t="s">
        <v>844</v>
      </c>
      <c r="ADJ685" s="121" t="s">
        <v>844</v>
      </c>
      <c r="ADK685" s="121" t="s">
        <v>844</v>
      </c>
      <c r="ADL685" s="121" t="s">
        <v>844</v>
      </c>
      <c r="ADM685" s="121" t="s">
        <v>844</v>
      </c>
      <c r="ADN685" s="121" t="s">
        <v>844</v>
      </c>
      <c r="ADO685" s="121" t="s">
        <v>844</v>
      </c>
      <c r="ADP685" s="121" t="s">
        <v>844</v>
      </c>
      <c r="ADQ685" s="121" t="s">
        <v>844</v>
      </c>
      <c r="ADR685" s="121" t="s">
        <v>844</v>
      </c>
      <c r="ADS685" s="121" t="s">
        <v>844</v>
      </c>
      <c r="ADT685" s="121" t="s">
        <v>844</v>
      </c>
      <c r="ADU685" s="121" t="s">
        <v>844</v>
      </c>
      <c r="ADV685" s="121" t="s">
        <v>844</v>
      </c>
      <c r="ADW685" s="121" t="s">
        <v>844</v>
      </c>
      <c r="ADX685" s="121" t="s">
        <v>844</v>
      </c>
      <c r="ADY685" s="121" t="s">
        <v>844</v>
      </c>
      <c r="ADZ685" s="121" t="s">
        <v>844</v>
      </c>
      <c r="AEA685" s="121" t="s">
        <v>844</v>
      </c>
      <c r="AEB685" s="121" t="s">
        <v>844</v>
      </c>
      <c r="AEC685" s="121" t="s">
        <v>844</v>
      </c>
      <c r="AED685" s="121" t="s">
        <v>844</v>
      </c>
      <c r="AEE685" s="121" t="s">
        <v>844</v>
      </c>
      <c r="AEF685" s="121" t="s">
        <v>844</v>
      </c>
      <c r="AEG685" s="121" t="s">
        <v>844</v>
      </c>
      <c r="AEH685" s="121" t="s">
        <v>844</v>
      </c>
      <c r="AEI685" s="121" t="s">
        <v>844</v>
      </c>
      <c r="AEJ685" s="121" t="s">
        <v>844</v>
      </c>
      <c r="AEK685" s="121" t="s">
        <v>844</v>
      </c>
      <c r="AEL685" s="121" t="s">
        <v>844</v>
      </c>
      <c r="AEM685" s="121" t="s">
        <v>844</v>
      </c>
      <c r="AEN685" s="121" t="s">
        <v>844</v>
      </c>
      <c r="AEO685" s="121" t="s">
        <v>844</v>
      </c>
      <c r="AEP685" s="121" t="s">
        <v>844</v>
      </c>
      <c r="AEQ685" s="121" t="s">
        <v>844</v>
      </c>
      <c r="AER685" s="121" t="s">
        <v>844</v>
      </c>
      <c r="AES685" s="121" t="s">
        <v>844</v>
      </c>
      <c r="AET685" s="121" t="s">
        <v>844</v>
      </c>
      <c r="AEU685" s="121" t="s">
        <v>844</v>
      </c>
      <c r="AEV685" s="121" t="s">
        <v>844</v>
      </c>
      <c r="AEW685" s="121" t="s">
        <v>844</v>
      </c>
      <c r="AEX685" s="121" t="s">
        <v>844</v>
      </c>
      <c r="AEY685" s="121" t="s">
        <v>844</v>
      </c>
      <c r="AEZ685" s="121" t="s">
        <v>844</v>
      </c>
      <c r="AFA685" s="121" t="s">
        <v>844</v>
      </c>
      <c r="AFB685" s="121" t="s">
        <v>844</v>
      </c>
      <c r="AFC685" s="121" t="s">
        <v>844</v>
      </c>
      <c r="AFD685" s="121" t="s">
        <v>844</v>
      </c>
      <c r="AFE685" s="121" t="s">
        <v>844</v>
      </c>
      <c r="AFF685" s="121" t="s">
        <v>844</v>
      </c>
      <c r="AFG685" s="121" t="s">
        <v>844</v>
      </c>
      <c r="AFH685" s="121" t="s">
        <v>844</v>
      </c>
      <c r="AFI685" s="121" t="s">
        <v>844</v>
      </c>
      <c r="AFJ685" s="121" t="s">
        <v>844</v>
      </c>
      <c r="AFK685" s="121" t="s">
        <v>844</v>
      </c>
      <c r="AFL685" s="121" t="s">
        <v>844</v>
      </c>
      <c r="AFM685" s="121" t="s">
        <v>844</v>
      </c>
      <c r="AFN685" s="121" t="s">
        <v>844</v>
      </c>
      <c r="AFO685" s="121" t="s">
        <v>844</v>
      </c>
      <c r="AFP685" s="121" t="s">
        <v>844</v>
      </c>
      <c r="AFQ685" s="121" t="s">
        <v>844</v>
      </c>
      <c r="AFR685" s="121" t="s">
        <v>844</v>
      </c>
      <c r="AFS685" s="121" t="s">
        <v>844</v>
      </c>
      <c r="AFT685" s="121" t="s">
        <v>844</v>
      </c>
      <c r="AFU685" s="121" t="s">
        <v>844</v>
      </c>
      <c r="AFV685" s="121" t="s">
        <v>844</v>
      </c>
      <c r="AFW685" s="121" t="s">
        <v>844</v>
      </c>
      <c r="AFX685" s="121" t="s">
        <v>844</v>
      </c>
      <c r="AFY685" s="121" t="s">
        <v>844</v>
      </c>
      <c r="AFZ685" s="121" t="s">
        <v>844</v>
      </c>
      <c r="AGA685" s="121" t="s">
        <v>844</v>
      </c>
      <c r="AGB685" s="121" t="s">
        <v>844</v>
      </c>
      <c r="AGC685" s="121" t="s">
        <v>844</v>
      </c>
      <c r="AGD685" s="121" t="s">
        <v>844</v>
      </c>
      <c r="AGE685" s="121" t="s">
        <v>844</v>
      </c>
      <c r="AGF685" s="121" t="s">
        <v>844</v>
      </c>
      <c r="AGG685" s="121" t="s">
        <v>844</v>
      </c>
      <c r="AGH685" s="121" t="s">
        <v>844</v>
      </c>
      <c r="AGI685" s="121" t="s">
        <v>844</v>
      </c>
      <c r="AGJ685" s="121" t="s">
        <v>844</v>
      </c>
      <c r="AGK685" s="121" t="s">
        <v>844</v>
      </c>
      <c r="AGL685" s="121" t="s">
        <v>844</v>
      </c>
      <c r="AGM685" s="121" t="s">
        <v>844</v>
      </c>
      <c r="AGN685" s="121" t="s">
        <v>844</v>
      </c>
      <c r="AGO685" s="121" t="s">
        <v>844</v>
      </c>
      <c r="AGP685" s="121" t="s">
        <v>844</v>
      </c>
      <c r="AGQ685" s="121" t="s">
        <v>844</v>
      </c>
      <c r="AGR685" s="121" t="s">
        <v>844</v>
      </c>
      <c r="AGS685" s="121" t="s">
        <v>844</v>
      </c>
      <c r="AGT685" s="121" t="s">
        <v>844</v>
      </c>
      <c r="AGU685" s="121" t="s">
        <v>844</v>
      </c>
      <c r="AGV685" s="121" t="s">
        <v>844</v>
      </c>
      <c r="AGW685" s="121" t="s">
        <v>844</v>
      </c>
      <c r="AGX685" s="121" t="s">
        <v>844</v>
      </c>
      <c r="AGY685" s="121" t="s">
        <v>844</v>
      </c>
      <c r="AGZ685" s="121" t="s">
        <v>844</v>
      </c>
      <c r="AHA685" s="121" t="s">
        <v>844</v>
      </c>
      <c r="AHB685" s="121" t="s">
        <v>844</v>
      </c>
      <c r="AHC685" s="121" t="s">
        <v>844</v>
      </c>
      <c r="AHD685" s="121" t="s">
        <v>844</v>
      </c>
      <c r="AHE685" s="121" t="s">
        <v>844</v>
      </c>
      <c r="AHF685" s="121" t="s">
        <v>844</v>
      </c>
      <c r="AHG685" s="121" t="s">
        <v>844</v>
      </c>
      <c r="AHH685" s="121" t="s">
        <v>844</v>
      </c>
      <c r="AHI685" s="121" t="s">
        <v>844</v>
      </c>
      <c r="AHJ685" s="121" t="s">
        <v>844</v>
      </c>
      <c r="AHK685" s="121" t="s">
        <v>844</v>
      </c>
      <c r="AHL685" s="121" t="s">
        <v>844</v>
      </c>
      <c r="AHM685" s="121" t="s">
        <v>844</v>
      </c>
      <c r="AHN685" s="121" t="s">
        <v>844</v>
      </c>
      <c r="AHO685" s="121" t="s">
        <v>844</v>
      </c>
      <c r="AHP685" s="121" t="s">
        <v>844</v>
      </c>
      <c r="AHQ685" s="121" t="s">
        <v>844</v>
      </c>
      <c r="AHR685" s="121" t="s">
        <v>844</v>
      </c>
      <c r="AHS685" s="121" t="s">
        <v>844</v>
      </c>
      <c r="AHT685" s="121" t="s">
        <v>844</v>
      </c>
      <c r="AHU685" s="121" t="s">
        <v>844</v>
      </c>
      <c r="AHV685" s="121" t="s">
        <v>844</v>
      </c>
      <c r="AHW685" s="121" t="s">
        <v>844</v>
      </c>
      <c r="AHX685" s="121" t="s">
        <v>844</v>
      </c>
      <c r="AHY685" s="121" t="s">
        <v>844</v>
      </c>
      <c r="AHZ685" s="121" t="s">
        <v>844</v>
      </c>
      <c r="AIA685" s="121" t="s">
        <v>844</v>
      </c>
      <c r="AIB685" s="121" t="s">
        <v>844</v>
      </c>
      <c r="AIC685" s="121" t="s">
        <v>844</v>
      </c>
      <c r="AID685" s="121" t="s">
        <v>844</v>
      </c>
      <c r="AIE685" s="121" t="s">
        <v>844</v>
      </c>
      <c r="AIF685" s="121" t="s">
        <v>844</v>
      </c>
      <c r="AIG685" s="121" t="s">
        <v>844</v>
      </c>
      <c r="AIH685" s="121" t="s">
        <v>844</v>
      </c>
      <c r="AII685" s="121" t="s">
        <v>844</v>
      </c>
      <c r="AIJ685" s="121" t="s">
        <v>844</v>
      </c>
      <c r="AIK685" s="121" t="s">
        <v>844</v>
      </c>
      <c r="AIL685" s="121" t="s">
        <v>844</v>
      </c>
      <c r="AIM685" s="121" t="s">
        <v>844</v>
      </c>
      <c r="AIN685" s="121" t="s">
        <v>844</v>
      </c>
      <c r="AIO685" s="121" t="s">
        <v>844</v>
      </c>
      <c r="AIP685" s="121" t="s">
        <v>844</v>
      </c>
      <c r="AIQ685" s="121" t="s">
        <v>844</v>
      </c>
      <c r="AIR685" s="121" t="s">
        <v>844</v>
      </c>
      <c r="AIS685" s="121" t="s">
        <v>844</v>
      </c>
      <c r="AIT685" s="121" t="s">
        <v>844</v>
      </c>
      <c r="AIU685" s="121" t="s">
        <v>844</v>
      </c>
      <c r="AIV685" s="121" t="s">
        <v>844</v>
      </c>
      <c r="AIW685" s="121" t="s">
        <v>844</v>
      </c>
      <c r="AIX685" s="121" t="s">
        <v>844</v>
      </c>
      <c r="AIY685" s="121" t="s">
        <v>844</v>
      </c>
      <c r="AIZ685" s="121" t="s">
        <v>844</v>
      </c>
      <c r="AJA685" s="121" t="s">
        <v>844</v>
      </c>
      <c r="AJB685" s="121" t="s">
        <v>844</v>
      </c>
      <c r="AJC685" s="121" t="s">
        <v>844</v>
      </c>
      <c r="AJD685" s="121" t="s">
        <v>844</v>
      </c>
      <c r="AJE685" s="121" t="s">
        <v>844</v>
      </c>
      <c r="AJF685" s="121" t="s">
        <v>844</v>
      </c>
      <c r="AJG685" s="121" t="s">
        <v>844</v>
      </c>
      <c r="AJH685" s="121" t="s">
        <v>844</v>
      </c>
      <c r="AJI685" s="121" t="s">
        <v>844</v>
      </c>
      <c r="AJJ685" s="121" t="s">
        <v>844</v>
      </c>
      <c r="AJK685" s="121" t="s">
        <v>844</v>
      </c>
      <c r="AJL685" s="121" t="s">
        <v>844</v>
      </c>
      <c r="AJM685" s="121" t="s">
        <v>844</v>
      </c>
      <c r="AJN685" s="121" t="s">
        <v>844</v>
      </c>
      <c r="AJO685" s="121" t="s">
        <v>844</v>
      </c>
      <c r="AJP685" s="121" t="s">
        <v>844</v>
      </c>
      <c r="AJQ685" s="121" t="s">
        <v>844</v>
      </c>
      <c r="AJR685" s="121" t="s">
        <v>844</v>
      </c>
      <c r="AJS685" s="121" t="s">
        <v>844</v>
      </c>
      <c r="AJT685" s="121" t="s">
        <v>844</v>
      </c>
      <c r="AJU685" s="121" t="s">
        <v>844</v>
      </c>
      <c r="AJV685" s="121" t="s">
        <v>844</v>
      </c>
      <c r="AJW685" s="121" t="s">
        <v>844</v>
      </c>
      <c r="AJX685" s="121" t="s">
        <v>844</v>
      </c>
      <c r="AJY685" s="121" t="s">
        <v>844</v>
      </c>
      <c r="AJZ685" s="121" t="s">
        <v>844</v>
      </c>
      <c r="AKA685" s="121" t="s">
        <v>844</v>
      </c>
      <c r="AKB685" s="121" t="s">
        <v>844</v>
      </c>
      <c r="AKC685" s="121" t="s">
        <v>844</v>
      </c>
      <c r="AKD685" s="121" t="s">
        <v>844</v>
      </c>
      <c r="AKE685" s="121" t="s">
        <v>844</v>
      </c>
      <c r="AKF685" s="121" t="s">
        <v>844</v>
      </c>
      <c r="AKG685" s="121" t="s">
        <v>844</v>
      </c>
      <c r="AKH685" s="121" t="s">
        <v>844</v>
      </c>
      <c r="AKI685" s="121" t="s">
        <v>844</v>
      </c>
      <c r="AKJ685" s="121" t="s">
        <v>844</v>
      </c>
      <c r="AKK685" s="121" t="s">
        <v>844</v>
      </c>
      <c r="AKL685" s="121" t="s">
        <v>844</v>
      </c>
      <c r="AKM685" s="121" t="s">
        <v>844</v>
      </c>
      <c r="AKN685" s="121" t="s">
        <v>844</v>
      </c>
      <c r="AKO685" s="121" t="s">
        <v>844</v>
      </c>
      <c r="AKP685" s="121" t="s">
        <v>844</v>
      </c>
      <c r="AKQ685" s="121" t="s">
        <v>844</v>
      </c>
      <c r="AKR685" s="121" t="s">
        <v>844</v>
      </c>
      <c r="AKS685" s="121" t="s">
        <v>844</v>
      </c>
      <c r="AKT685" s="121" t="s">
        <v>844</v>
      </c>
      <c r="AKU685" s="121" t="s">
        <v>844</v>
      </c>
      <c r="AKV685" s="121" t="s">
        <v>844</v>
      </c>
      <c r="AKW685" s="121" t="s">
        <v>844</v>
      </c>
      <c r="AKX685" s="121" t="s">
        <v>844</v>
      </c>
      <c r="AKY685" s="121" t="s">
        <v>844</v>
      </c>
      <c r="AKZ685" s="121" t="s">
        <v>844</v>
      </c>
      <c r="ALA685" s="121" t="s">
        <v>844</v>
      </c>
      <c r="ALB685" s="121" t="s">
        <v>844</v>
      </c>
      <c r="ALC685" s="121" t="s">
        <v>844</v>
      </c>
      <c r="ALD685" s="121" t="s">
        <v>844</v>
      </c>
      <c r="ALE685" s="121" t="s">
        <v>844</v>
      </c>
      <c r="ALF685" s="121" t="s">
        <v>844</v>
      </c>
      <c r="ALG685" s="121" t="s">
        <v>844</v>
      </c>
      <c r="ALH685" s="121" t="s">
        <v>844</v>
      </c>
      <c r="ALI685" s="121" t="s">
        <v>844</v>
      </c>
      <c r="ALJ685" s="121" t="s">
        <v>844</v>
      </c>
      <c r="ALK685" s="121" t="s">
        <v>844</v>
      </c>
      <c r="ALL685" s="121" t="s">
        <v>844</v>
      </c>
      <c r="ALM685" s="121" t="s">
        <v>844</v>
      </c>
      <c r="ALN685" s="121" t="s">
        <v>844</v>
      </c>
      <c r="ALO685" s="121" t="s">
        <v>844</v>
      </c>
      <c r="ALP685" s="121" t="s">
        <v>844</v>
      </c>
      <c r="ALQ685" s="121" t="s">
        <v>844</v>
      </c>
      <c r="ALR685" s="121" t="s">
        <v>844</v>
      </c>
      <c r="ALS685" s="121" t="s">
        <v>844</v>
      </c>
      <c r="ALT685" s="121" t="s">
        <v>844</v>
      </c>
      <c r="ALU685" s="121" t="s">
        <v>844</v>
      </c>
      <c r="ALV685" s="121" t="s">
        <v>844</v>
      </c>
      <c r="ALW685" s="121" t="s">
        <v>844</v>
      </c>
      <c r="ALX685" s="121" t="s">
        <v>844</v>
      </c>
      <c r="ALY685" s="121" t="s">
        <v>844</v>
      </c>
      <c r="ALZ685" s="121" t="s">
        <v>844</v>
      </c>
      <c r="AMA685" s="121" t="s">
        <v>844</v>
      </c>
      <c r="AMB685" s="121" t="s">
        <v>844</v>
      </c>
      <c r="AMC685" s="121" t="s">
        <v>844</v>
      </c>
      <c r="AMD685" s="121" t="s">
        <v>844</v>
      </c>
      <c r="AME685" s="121" t="s">
        <v>844</v>
      </c>
      <c r="AMF685" s="121" t="s">
        <v>844</v>
      </c>
      <c r="AMG685" s="121" t="s">
        <v>844</v>
      </c>
      <c r="AMH685" s="121" t="s">
        <v>844</v>
      </c>
      <c r="AMI685" s="121" t="s">
        <v>844</v>
      </c>
      <c r="AMJ685" s="121" t="s">
        <v>844</v>
      </c>
    </row>
    <row r="686" s="125" customFormat="true" ht="14.4" hidden="false" customHeight="false" outlineLevel="0" collapsed="false">
      <c r="A686" s="96" t="n">
        <v>104</v>
      </c>
      <c r="B686" s="122" t="s">
        <v>126</v>
      </c>
      <c r="C686" s="123" t="n">
        <v>43289</v>
      </c>
      <c r="D686" s="87" t="n">
        <v>1</v>
      </c>
      <c r="E686" s="99" t="n">
        <v>1</v>
      </c>
      <c r="F686" s="124" t="s">
        <v>178</v>
      </c>
      <c r="G686" s="116" t="s">
        <v>845</v>
      </c>
    </row>
    <row r="687" s="125" customFormat="true" ht="14.4" hidden="false" customHeight="false" outlineLevel="0" collapsed="false">
      <c r="A687" s="96" t="n">
        <v>104</v>
      </c>
      <c r="B687" s="122" t="s">
        <v>126</v>
      </c>
      <c r="C687" s="123" t="n">
        <v>43289</v>
      </c>
      <c r="D687" s="87" t="n">
        <v>1</v>
      </c>
      <c r="E687" s="99" t="n">
        <v>1</v>
      </c>
      <c r="F687" s="124" t="s">
        <v>178</v>
      </c>
      <c r="G687" s="116" t="s">
        <v>846</v>
      </c>
    </row>
    <row r="688" s="125" customFormat="true" ht="14.4" hidden="false" customHeight="false" outlineLevel="0" collapsed="false">
      <c r="A688" s="96" t="n">
        <v>104</v>
      </c>
      <c r="B688" s="122" t="s">
        <v>126</v>
      </c>
      <c r="C688" s="98" t="n">
        <v>43287</v>
      </c>
      <c r="D688" s="87" t="n">
        <v>1</v>
      </c>
      <c r="E688" s="99" t="n">
        <v>1</v>
      </c>
      <c r="F688" s="124" t="s">
        <v>178</v>
      </c>
      <c r="G688" s="116" t="s">
        <v>847</v>
      </c>
    </row>
    <row r="689" s="125" customFormat="true" ht="14.4" hidden="false" customHeight="false" outlineLevel="0" collapsed="false">
      <c r="A689" s="96" t="n">
        <v>104</v>
      </c>
      <c r="B689" s="122" t="s">
        <v>126</v>
      </c>
      <c r="C689" s="98" t="n">
        <v>43287</v>
      </c>
      <c r="D689" s="87" t="n">
        <v>1</v>
      </c>
      <c r="E689" s="99" t="n">
        <v>1</v>
      </c>
      <c r="F689" s="124" t="s">
        <v>178</v>
      </c>
      <c r="G689" s="116" t="s">
        <v>848</v>
      </c>
    </row>
    <row r="690" s="125" customFormat="true" ht="14.4" hidden="false" customHeight="false" outlineLevel="0" collapsed="false">
      <c r="A690" s="96" t="n">
        <v>104</v>
      </c>
      <c r="B690" s="122" t="s">
        <v>126</v>
      </c>
      <c r="C690" s="98" t="n">
        <v>43286</v>
      </c>
      <c r="D690" s="87" t="n">
        <v>1</v>
      </c>
      <c r="E690" s="99" t="n">
        <v>1</v>
      </c>
      <c r="F690" s="124" t="s">
        <v>178</v>
      </c>
      <c r="G690" s="116" t="s">
        <v>849</v>
      </c>
    </row>
    <row r="691" s="125" customFormat="true" ht="14.4" hidden="false" customHeight="false" outlineLevel="0" collapsed="false">
      <c r="A691" s="96" t="n">
        <v>104</v>
      </c>
      <c r="B691" s="122" t="s">
        <v>126</v>
      </c>
      <c r="C691" s="98" t="n">
        <v>43286</v>
      </c>
      <c r="D691" s="87" t="n">
        <v>1</v>
      </c>
      <c r="E691" s="99" t="n">
        <v>1</v>
      </c>
      <c r="F691" s="124" t="s">
        <v>178</v>
      </c>
      <c r="G691" s="116" t="s">
        <v>850</v>
      </c>
    </row>
    <row r="692" s="125" customFormat="true" ht="14.4" hidden="false" customHeight="false" outlineLevel="0" collapsed="false">
      <c r="A692" s="96" t="n">
        <v>104</v>
      </c>
      <c r="B692" s="122" t="s">
        <v>126</v>
      </c>
      <c r="C692" s="98" t="n">
        <v>43285</v>
      </c>
      <c r="D692" s="87" t="n">
        <v>2</v>
      </c>
      <c r="E692" s="99" t="n">
        <v>1</v>
      </c>
      <c r="F692" s="124" t="s">
        <v>178</v>
      </c>
      <c r="G692" s="116" t="s">
        <v>851</v>
      </c>
    </row>
    <row r="693" s="125" customFormat="true" ht="14.4" hidden="false" customHeight="false" outlineLevel="0" collapsed="false">
      <c r="A693" s="96" t="n">
        <v>104</v>
      </c>
      <c r="B693" s="122" t="s">
        <v>126</v>
      </c>
      <c r="C693" s="98" t="n">
        <v>43285</v>
      </c>
      <c r="D693" s="87" t="n">
        <v>1</v>
      </c>
      <c r="E693" s="99" t="n">
        <v>1</v>
      </c>
      <c r="F693" s="124" t="s">
        <v>178</v>
      </c>
      <c r="G693" s="116" t="s">
        <v>852</v>
      </c>
    </row>
    <row r="694" s="125" customFormat="true" ht="14.4" hidden="false" customHeight="false" outlineLevel="0" collapsed="false">
      <c r="A694" s="96" t="n">
        <v>104</v>
      </c>
      <c r="B694" s="122" t="s">
        <v>126</v>
      </c>
      <c r="C694" s="98" t="n">
        <v>43285</v>
      </c>
      <c r="D694" s="87" t="n">
        <v>1</v>
      </c>
      <c r="E694" s="99" t="n">
        <v>1</v>
      </c>
      <c r="F694" s="124" t="s">
        <v>178</v>
      </c>
      <c r="G694" s="116" t="s">
        <v>853</v>
      </c>
    </row>
    <row r="695" s="125" customFormat="true" ht="14.4" hidden="false" customHeight="false" outlineLevel="0" collapsed="false">
      <c r="A695" s="96" t="n">
        <v>104</v>
      </c>
      <c r="B695" s="122" t="s">
        <v>126</v>
      </c>
      <c r="C695" s="98" t="n">
        <v>43284</v>
      </c>
      <c r="D695" s="87" t="n">
        <v>1</v>
      </c>
      <c r="E695" s="99" t="n">
        <v>1</v>
      </c>
      <c r="F695" s="124" t="s">
        <v>178</v>
      </c>
      <c r="G695" s="116" t="s">
        <v>854</v>
      </c>
    </row>
    <row r="696" s="125" customFormat="true" ht="14.4" hidden="false" customHeight="false" outlineLevel="0" collapsed="false">
      <c r="A696" s="96" t="n">
        <v>104</v>
      </c>
      <c r="B696" s="122" t="s">
        <v>126</v>
      </c>
      <c r="C696" s="98" t="n">
        <v>43283</v>
      </c>
      <c r="D696" s="87" t="n">
        <v>1</v>
      </c>
      <c r="E696" s="99" t="n">
        <v>1</v>
      </c>
      <c r="F696" s="124" t="s">
        <v>178</v>
      </c>
      <c r="G696" s="116" t="s">
        <v>855</v>
      </c>
    </row>
    <row r="697" s="125" customFormat="true" ht="14.4" hidden="false" customHeight="false" outlineLevel="0" collapsed="false">
      <c r="A697" s="96" t="n">
        <v>104</v>
      </c>
      <c r="B697" s="122" t="s">
        <v>126</v>
      </c>
      <c r="C697" s="98" t="n">
        <v>43279</v>
      </c>
      <c r="D697" s="87" t="n">
        <v>1</v>
      </c>
      <c r="E697" s="99" t="n">
        <v>1</v>
      </c>
      <c r="F697" s="124" t="s">
        <v>178</v>
      </c>
      <c r="G697" s="126" t="s">
        <v>856</v>
      </c>
    </row>
    <row r="698" s="125" customFormat="true" ht="14.4" hidden="false" customHeight="false" outlineLevel="0" collapsed="false">
      <c r="A698" s="96" t="n">
        <v>104</v>
      </c>
      <c r="B698" s="122" t="s">
        <v>126</v>
      </c>
      <c r="C698" s="98" t="n">
        <v>43278</v>
      </c>
      <c r="D698" s="87" t="n">
        <v>1</v>
      </c>
      <c r="E698" s="99" t="n">
        <v>1</v>
      </c>
      <c r="F698" s="124" t="s">
        <v>178</v>
      </c>
      <c r="G698" s="126" t="s">
        <v>857</v>
      </c>
    </row>
    <row r="699" s="125" customFormat="true" ht="14.4" hidden="false" customHeight="false" outlineLevel="0" collapsed="false">
      <c r="A699" s="96" t="n">
        <v>104</v>
      </c>
      <c r="B699" s="122" t="s">
        <v>126</v>
      </c>
      <c r="C699" s="98" t="n">
        <v>43277</v>
      </c>
      <c r="D699" s="87" t="n">
        <v>2</v>
      </c>
      <c r="E699" s="99" t="n">
        <v>1</v>
      </c>
      <c r="F699" s="124" t="s">
        <v>178</v>
      </c>
      <c r="G699" s="126" t="s">
        <v>858</v>
      </c>
    </row>
    <row r="700" s="125" customFormat="true" ht="14.4" hidden="false" customHeight="false" outlineLevel="0" collapsed="false">
      <c r="A700" s="96" t="n">
        <v>18</v>
      </c>
      <c r="B700" s="122" t="s">
        <v>40</v>
      </c>
      <c r="C700" s="98" t="n">
        <v>43277</v>
      </c>
      <c r="D700" s="87" t="n">
        <v>1</v>
      </c>
      <c r="E700" s="99" t="n">
        <v>1</v>
      </c>
      <c r="F700" s="124" t="s">
        <v>178</v>
      </c>
      <c r="G700" s="126" t="s">
        <v>859</v>
      </c>
    </row>
    <row r="701" s="125" customFormat="true" ht="14.4" hidden="false" customHeight="false" outlineLevel="0" collapsed="false">
      <c r="A701" s="96" t="n">
        <v>104</v>
      </c>
      <c r="B701" s="122" t="s">
        <v>126</v>
      </c>
      <c r="C701" s="98" t="n">
        <v>43277</v>
      </c>
      <c r="D701" s="87" t="n">
        <v>1</v>
      </c>
      <c r="E701" s="99" t="n">
        <v>1</v>
      </c>
      <c r="F701" s="124" t="s">
        <v>178</v>
      </c>
      <c r="G701" s="126" t="s">
        <v>860</v>
      </c>
    </row>
    <row r="702" s="125" customFormat="true" ht="14.4" hidden="false" customHeight="false" outlineLevel="0" collapsed="false">
      <c r="A702" s="96" t="n">
        <v>104</v>
      </c>
      <c r="B702" s="122" t="s">
        <v>126</v>
      </c>
      <c r="C702" s="98" t="n">
        <v>43276</v>
      </c>
      <c r="D702" s="87" t="n">
        <v>1</v>
      </c>
      <c r="E702" s="99" t="n">
        <v>1</v>
      </c>
      <c r="F702" s="124" t="s">
        <v>178</v>
      </c>
      <c r="G702" s="126" t="s">
        <v>861</v>
      </c>
    </row>
    <row r="703" s="125" customFormat="true" ht="14.4" hidden="false" customHeight="false" outlineLevel="0" collapsed="false">
      <c r="A703" s="96" t="n">
        <v>104</v>
      </c>
      <c r="B703" s="122" t="s">
        <v>126</v>
      </c>
      <c r="C703" s="98" t="n">
        <v>43276</v>
      </c>
      <c r="D703" s="87" t="n">
        <v>1</v>
      </c>
      <c r="E703" s="99" t="n">
        <v>1</v>
      </c>
      <c r="F703" s="124" t="s">
        <v>178</v>
      </c>
      <c r="G703" s="126" t="s">
        <v>862</v>
      </c>
    </row>
    <row r="704" s="125" customFormat="true" ht="14.4" hidden="false" customHeight="false" outlineLevel="0" collapsed="false">
      <c r="A704" s="96" t="n">
        <v>104</v>
      </c>
      <c r="B704" s="122" t="s">
        <v>126</v>
      </c>
      <c r="C704" s="98" t="n">
        <v>43273</v>
      </c>
      <c r="D704" s="87" t="n">
        <v>1</v>
      </c>
      <c r="E704" s="99" t="n">
        <v>1</v>
      </c>
      <c r="F704" s="124" t="s">
        <v>178</v>
      </c>
      <c r="G704" s="126" t="s">
        <v>863</v>
      </c>
    </row>
    <row r="705" s="125" customFormat="true" ht="14.4" hidden="false" customHeight="false" outlineLevel="0" collapsed="false">
      <c r="A705" s="96" t="n">
        <v>104</v>
      </c>
      <c r="B705" s="122" t="s">
        <v>126</v>
      </c>
      <c r="C705" s="98" t="n">
        <v>43272</v>
      </c>
      <c r="D705" s="87" t="n">
        <v>1</v>
      </c>
      <c r="E705" s="99" t="n">
        <v>1</v>
      </c>
      <c r="F705" s="124" t="s">
        <v>178</v>
      </c>
      <c r="G705" s="126" t="s">
        <v>864</v>
      </c>
    </row>
    <row r="706" s="125" customFormat="true" ht="14.4" hidden="false" customHeight="false" outlineLevel="0" collapsed="false">
      <c r="A706" s="96" t="n">
        <v>104</v>
      </c>
      <c r="B706" s="122" t="s">
        <v>126</v>
      </c>
      <c r="C706" s="98" t="n">
        <v>43273</v>
      </c>
      <c r="D706" s="87" t="n">
        <v>2</v>
      </c>
      <c r="E706" s="99" t="n">
        <v>1</v>
      </c>
      <c r="F706" s="124" t="s">
        <v>178</v>
      </c>
      <c r="G706" s="126" t="s">
        <v>865</v>
      </c>
    </row>
    <row r="707" s="125" customFormat="true" ht="15.75" hidden="false" customHeight="true" outlineLevel="0" collapsed="false">
      <c r="A707" s="96" t="n">
        <v>104</v>
      </c>
      <c r="B707" s="122" t="s">
        <v>126</v>
      </c>
      <c r="C707" s="98" t="n">
        <v>43272</v>
      </c>
      <c r="D707" s="87" t="n">
        <v>1</v>
      </c>
      <c r="E707" s="99" t="n">
        <v>1</v>
      </c>
      <c r="F707" s="124" t="s">
        <v>178</v>
      </c>
      <c r="G707" s="126" t="s">
        <v>866</v>
      </c>
    </row>
    <row r="708" s="125" customFormat="true" ht="15.75" hidden="false" customHeight="true" outlineLevel="0" collapsed="false">
      <c r="A708" s="96" t="n">
        <v>115</v>
      </c>
      <c r="B708" s="122" t="s">
        <v>867</v>
      </c>
      <c r="C708" s="98" t="n">
        <v>43272</v>
      </c>
      <c r="D708" s="87" t="n">
        <v>1</v>
      </c>
      <c r="E708" s="99" t="n">
        <v>1</v>
      </c>
      <c r="F708" s="124" t="s">
        <v>178</v>
      </c>
      <c r="G708" s="126" t="s">
        <v>868</v>
      </c>
    </row>
    <row r="709" s="125" customFormat="true" ht="14.4" hidden="false" customHeight="false" outlineLevel="0" collapsed="false">
      <c r="A709" s="96" t="n">
        <v>104</v>
      </c>
      <c r="B709" s="122" t="s">
        <v>126</v>
      </c>
      <c r="C709" s="98" t="n">
        <v>43272</v>
      </c>
      <c r="D709" s="87" t="n">
        <v>1</v>
      </c>
      <c r="E709" s="99" t="n">
        <v>1</v>
      </c>
      <c r="F709" s="124" t="s">
        <v>178</v>
      </c>
      <c r="G709" s="126" t="s">
        <v>869</v>
      </c>
    </row>
    <row r="710" s="125" customFormat="true" ht="14.4" hidden="false" customHeight="false" outlineLevel="0" collapsed="false">
      <c r="A710" s="96" t="n">
        <v>104</v>
      </c>
      <c r="B710" s="122" t="s">
        <v>126</v>
      </c>
      <c r="C710" s="98" t="n">
        <v>43271</v>
      </c>
      <c r="D710" s="87" t="n">
        <v>1</v>
      </c>
      <c r="E710" s="99" t="n">
        <v>1</v>
      </c>
      <c r="F710" s="124" t="s">
        <v>178</v>
      </c>
      <c r="G710" s="127" t="s">
        <v>870</v>
      </c>
    </row>
    <row r="711" s="125" customFormat="true" ht="14.4" hidden="false" customHeight="false" outlineLevel="0" collapsed="false">
      <c r="A711" s="96" t="n">
        <v>104</v>
      </c>
      <c r="B711" s="122" t="s">
        <v>126</v>
      </c>
      <c r="C711" s="98" t="n">
        <v>43271</v>
      </c>
      <c r="D711" s="87" t="n">
        <v>1</v>
      </c>
      <c r="E711" s="99" t="n">
        <v>1</v>
      </c>
      <c r="F711" s="124" t="s">
        <v>178</v>
      </c>
      <c r="G711" s="127" t="s">
        <v>871</v>
      </c>
    </row>
    <row r="712" s="125" customFormat="true" ht="14.4" hidden="false" customHeight="false" outlineLevel="0" collapsed="false">
      <c r="A712" s="96" t="n">
        <v>127</v>
      </c>
      <c r="B712" s="122" t="s">
        <v>149</v>
      </c>
      <c r="C712" s="98" t="n">
        <v>43271</v>
      </c>
      <c r="D712" s="87" t="n">
        <v>1</v>
      </c>
      <c r="E712" s="99" t="n">
        <v>1</v>
      </c>
      <c r="F712" s="124" t="s">
        <v>178</v>
      </c>
      <c r="G712" s="127" t="s">
        <v>872</v>
      </c>
    </row>
    <row r="713" s="125" customFormat="true" ht="14.4" hidden="false" customHeight="false" outlineLevel="0" collapsed="false">
      <c r="A713" s="96" t="n">
        <v>104</v>
      </c>
      <c r="B713" s="122" t="s">
        <v>126</v>
      </c>
      <c r="C713" s="98" t="n">
        <v>43271</v>
      </c>
      <c r="D713" s="87" t="n">
        <v>2</v>
      </c>
      <c r="E713" s="99" t="n">
        <v>1</v>
      </c>
      <c r="F713" s="124" t="s">
        <v>178</v>
      </c>
      <c r="G713" s="127" t="s">
        <v>873</v>
      </c>
    </row>
    <row r="714" s="125" customFormat="true" ht="14.4" hidden="false" customHeight="false" outlineLevel="0" collapsed="false">
      <c r="A714" s="96" t="n">
        <v>104</v>
      </c>
      <c r="B714" s="122" t="s">
        <v>126</v>
      </c>
      <c r="C714" s="98" t="n">
        <v>43269</v>
      </c>
      <c r="D714" s="87" t="n">
        <v>1</v>
      </c>
      <c r="E714" s="99" t="n">
        <v>1</v>
      </c>
      <c r="F714" s="124" t="s">
        <v>178</v>
      </c>
      <c r="G714" s="127" t="s">
        <v>874</v>
      </c>
    </row>
    <row r="715" s="125" customFormat="true" ht="16.45" hidden="false" customHeight="false" outlineLevel="0" collapsed="false">
      <c r="A715" s="96" t="n">
        <v>104</v>
      </c>
      <c r="B715" s="122" t="s">
        <v>126</v>
      </c>
      <c r="C715" s="98" t="n">
        <v>43269</v>
      </c>
      <c r="D715" s="87" t="n">
        <v>1</v>
      </c>
      <c r="E715" s="99" t="n">
        <v>1</v>
      </c>
      <c r="F715" s="124" t="s">
        <v>178</v>
      </c>
      <c r="G715" s="128" t="s">
        <v>594</v>
      </c>
    </row>
    <row r="716" s="125" customFormat="true" ht="14.25" hidden="false" customHeight="true" outlineLevel="0" collapsed="false">
      <c r="A716" s="96" t="n">
        <v>104</v>
      </c>
      <c r="B716" s="122" t="s">
        <v>126</v>
      </c>
      <c r="C716" s="98" t="n">
        <v>43266</v>
      </c>
      <c r="D716" s="87" t="n">
        <v>1</v>
      </c>
      <c r="E716" s="99" t="n">
        <v>1</v>
      </c>
      <c r="F716" s="124" t="s">
        <v>178</v>
      </c>
      <c r="G716" s="127" t="s">
        <v>875</v>
      </c>
    </row>
    <row r="717" s="125" customFormat="true" ht="14.4" hidden="false" customHeight="false" outlineLevel="0" collapsed="false">
      <c r="A717" s="96" t="n">
        <v>104</v>
      </c>
      <c r="B717" s="122" t="s">
        <v>126</v>
      </c>
      <c r="C717" s="98" t="n">
        <v>43266</v>
      </c>
      <c r="D717" s="87" t="n">
        <v>1</v>
      </c>
      <c r="E717" s="99" t="n">
        <v>1</v>
      </c>
      <c r="F717" s="124" t="s">
        <v>178</v>
      </c>
      <c r="G717" s="129" t="s">
        <v>876</v>
      </c>
    </row>
    <row r="718" s="125" customFormat="true" ht="14.4" hidden="false" customHeight="false" outlineLevel="0" collapsed="false">
      <c r="A718" s="96" t="n">
        <v>104</v>
      </c>
      <c r="B718" s="122" t="s">
        <v>126</v>
      </c>
      <c r="C718" s="98" t="n">
        <v>43265</v>
      </c>
      <c r="D718" s="87" t="n">
        <v>2</v>
      </c>
      <c r="E718" s="99" t="n">
        <v>1</v>
      </c>
      <c r="F718" s="124" t="s">
        <v>178</v>
      </c>
      <c r="G718" s="129" t="s">
        <v>877</v>
      </c>
    </row>
    <row r="719" s="125" customFormat="true" ht="14.4" hidden="false" customHeight="false" outlineLevel="0" collapsed="false">
      <c r="A719" s="96" t="n">
        <v>104</v>
      </c>
      <c r="B719" s="122" t="s">
        <v>126</v>
      </c>
      <c r="C719" s="98" t="n">
        <v>43264</v>
      </c>
      <c r="D719" s="87" t="n">
        <v>1</v>
      </c>
      <c r="E719" s="99" t="n">
        <v>1</v>
      </c>
      <c r="F719" s="124" t="s">
        <v>178</v>
      </c>
      <c r="G719" s="129" t="s">
        <v>878</v>
      </c>
    </row>
    <row r="720" s="125" customFormat="true" ht="14.4" hidden="false" customHeight="false" outlineLevel="0" collapsed="false">
      <c r="A720" s="96" t="n">
        <v>105</v>
      </c>
      <c r="B720" s="122" t="s">
        <v>127</v>
      </c>
      <c r="C720" s="98" t="n">
        <v>43264</v>
      </c>
      <c r="D720" s="87" t="n">
        <v>1</v>
      </c>
      <c r="E720" s="99" t="n">
        <v>1</v>
      </c>
      <c r="F720" s="124" t="s">
        <v>178</v>
      </c>
      <c r="G720" s="129" t="s">
        <v>879</v>
      </c>
    </row>
    <row r="721" s="125" customFormat="true" ht="14.4" hidden="false" customHeight="false" outlineLevel="0" collapsed="false">
      <c r="A721" s="96" t="n">
        <v>104</v>
      </c>
      <c r="B721" s="122" t="s">
        <v>126</v>
      </c>
      <c r="C721" s="98" t="n">
        <v>43264</v>
      </c>
      <c r="D721" s="87" t="n">
        <v>1</v>
      </c>
      <c r="E721" s="99" t="n">
        <v>1</v>
      </c>
      <c r="F721" s="124" t="s">
        <v>178</v>
      </c>
      <c r="G721" s="129" t="s">
        <v>880</v>
      </c>
    </row>
    <row r="722" s="125" customFormat="true" ht="14.4" hidden="false" customHeight="false" outlineLevel="0" collapsed="false">
      <c r="A722" s="96" t="n">
        <v>104</v>
      </c>
      <c r="B722" s="122" t="s">
        <v>126</v>
      </c>
      <c r="C722" s="98" t="n">
        <v>43263</v>
      </c>
      <c r="D722" s="87" t="n">
        <v>1</v>
      </c>
      <c r="E722" s="99" t="n">
        <v>1</v>
      </c>
      <c r="F722" s="124" t="s">
        <v>178</v>
      </c>
      <c r="G722" s="129" t="s">
        <v>881</v>
      </c>
    </row>
    <row r="723" s="125" customFormat="true" ht="14.4" hidden="false" customHeight="false" outlineLevel="0" collapsed="false">
      <c r="A723" s="96" t="n">
        <v>104</v>
      </c>
      <c r="B723" s="122" t="s">
        <v>126</v>
      </c>
      <c r="C723" s="98" t="n">
        <v>43264</v>
      </c>
      <c r="D723" s="87" t="n">
        <v>1</v>
      </c>
      <c r="E723" s="99" t="n">
        <v>1</v>
      </c>
      <c r="F723" s="124" t="s">
        <v>178</v>
      </c>
      <c r="G723" s="129" t="s">
        <v>882</v>
      </c>
    </row>
    <row r="724" s="125" customFormat="true" ht="14.4" hidden="false" customHeight="false" outlineLevel="0" collapsed="false">
      <c r="A724" s="96" t="n">
        <v>116</v>
      </c>
      <c r="B724" s="122" t="s">
        <v>883</v>
      </c>
      <c r="C724" s="98" t="n">
        <v>43263</v>
      </c>
      <c r="D724" s="87" t="n">
        <v>1</v>
      </c>
      <c r="E724" s="99" t="n">
        <v>1</v>
      </c>
      <c r="F724" s="124" t="s">
        <v>178</v>
      </c>
      <c r="G724" s="129" t="s">
        <v>884</v>
      </c>
    </row>
    <row r="725" s="125" customFormat="true" ht="14.4" hidden="false" customHeight="false" outlineLevel="0" collapsed="false">
      <c r="A725" s="96" t="n">
        <v>107</v>
      </c>
      <c r="B725" s="122" t="s">
        <v>129</v>
      </c>
      <c r="C725" s="98" t="n">
        <v>43263</v>
      </c>
      <c r="D725" s="87" t="n">
        <v>1</v>
      </c>
      <c r="E725" s="99" t="n">
        <v>1</v>
      </c>
      <c r="F725" s="124" t="s">
        <v>178</v>
      </c>
      <c r="G725" s="129" t="s">
        <v>885</v>
      </c>
    </row>
    <row r="726" s="125" customFormat="true" ht="14.4" hidden="false" customHeight="false" outlineLevel="0" collapsed="false">
      <c r="A726" s="96" t="n">
        <v>104</v>
      </c>
      <c r="B726" s="122" t="s">
        <v>126</v>
      </c>
      <c r="C726" s="98" t="n">
        <v>43263</v>
      </c>
      <c r="D726" s="87" t="n">
        <v>1</v>
      </c>
      <c r="E726" s="99" t="n">
        <v>1</v>
      </c>
      <c r="F726" s="124" t="s">
        <v>178</v>
      </c>
      <c r="G726" s="129" t="s">
        <v>886</v>
      </c>
    </row>
    <row r="727" s="125" customFormat="true" ht="14.4" hidden="false" customHeight="false" outlineLevel="0" collapsed="false">
      <c r="A727" s="96" t="n">
        <v>104</v>
      </c>
      <c r="B727" s="122" t="s">
        <v>126</v>
      </c>
      <c r="C727" s="98" t="n">
        <v>43262</v>
      </c>
      <c r="D727" s="87" t="n">
        <v>1</v>
      </c>
      <c r="E727" s="99" t="n">
        <v>1</v>
      </c>
      <c r="F727" s="124" t="s">
        <v>178</v>
      </c>
      <c r="G727" s="129" t="s">
        <v>887</v>
      </c>
    </row>
    <row r="728" s="125" customFormat="true" ht="14.4" hidden="false" customHeight="false" outlineLevel="0" collapsed="false">
      <c r="A728" s="96" t="n">
        <v>104</v>
      </c>
      <c r="B728" s="122" t="s">
        <v>126</v>
      </c>
      <c r="C728" s="98" t="n">
        <v>43259</v>
      </c>
      <c r="D728" s="87" t="n">
        <v>1</v>
      </c>
      <c r="E728" s="99" t="n">
        <v>1</v>
      </c>
      <c r="F728" s="124" t="s">
        <v>178</v>
      </c>
      <c r="G728" s="129" t="s">
        <v>888</v>
      </c>
    </row>
    <row r="729" s="125" customFormat="true" ht="14.4" hidden="false" customHeight="false" outlineLevel="0" collapsed="false">
      <c r="A729" s="96" t="n">
        <v>104</v>
      </c>
      <c r="B729" s="122" t="s">
        <v>126</v>
      </c>
      <c r="C729" s="98" t="n">
        <v>43259</v>
      </c>
      <c r="D729" s="87" t="n">
        <v>2</v>
      </c>
      <c r="E729" s="99" t="n">
        <v>1</v>
      </c>
      <c r="F729" s="124" t="s">
        <v>178</v>
      </c>
      <c r="G729" s="129" t="s">
        <v>889</v>
      </c>
    </row>
    <row r="730" s="125" customFormat="true" ht="14.4" hidden="false" customHeight="false" outlineLevel="0" collapsed="false">
      <c r="A730" s="96" t="n">
        <v>104</v>
      </c>
      <c r="B730" s="122" t="s">
        <v>126</v>
      </c>
      <c r="C730" s="98" t="n">
        <v>43258</v>
      </c>
      <c r="D730" s="87" t="n">
        <v>1</v>
      </c>
      <c r="E730" s="99" t="n">
        <v>1</v>
      </c>
      <c r="F730" s="124" t="s">
        <v>178</v>
      </c>
      <c r="G730" s="129" t="s">
        <v>890</v>
      </c>
    </row>
    <row r="731" s="125" customFormat="true" ht="14.4" hidden="false" customHeight="false" outlineLevel="0" collapsed="false">
      <c r="A731" s="96" t="n">
        <v>113</v>
      </c>
      <c r="B731" s="122" t="s">
        <v>135</v>
      </c>
      <c r="C731" s="98" t="n">
        <v>43257</v>
      </c>
      <c r="D731" s="87" t="n">
        <v>1</v>
      </c>
      <c r="E731" s="99" t="n">
        <v>1</v>
      </c>
      <c r="F731" s="124" t="s">
        <v>178</v>
      </c>
      <c r="G731" s="129" t="s">
        <v>891</v>
      </c>
    </row>
    <row r="732" s="125" customFormat="true" ht="14.4" hidden="false" customHeight="false" outlineLevel="0" collapsed="false">
      <c r="A732" s="96" t="n">
        <v>104</v>
      </c>
      <c r="B732" s="122" t="s">
        <v>126</v>
      </c>
      <c r="C732" s="98" t="n">
        <v>43257</v>
      </c>
      <c r="D732" s="87" t="n">
        <v>1</v>
      </c>
      <c r="E732" s="99" t="n">
        <v>1</v>
      </c>
      <c r="F732" s="124" t="s">
        <v>178</v>
      </c>
      <c r="G732" s="129" t="s">
        <v>892</v>
      </c>
    </row>
    <row r="733" s="125" customFormat="true" ht="14.4" hidden="false" customHeight="false" outlineLevel="0" collapsed="false">
      <c r="A733" s="96" t="n">
        <v>104</v>
      </c>
      <c r="B733" s="122" t="s">
        <v>126</v>
      </c>
      <c r="C733" s="98" t="n">
        <v>43256</v>
      </c>
      <c r="D733" s="87" t="n">
        <v>1</v>
      </c>
      <c r="E733" s="99" t="n">
        <v>1</v>
      </c>
      <c r="F733" s="124" t="s">
        <v>178</v>
      </c>
      <c r="G733" s="129" t="s">
        <v>893</v>
      </c>
    </row>
    <row r="734" s="125" customFormat="true" ht="14.4" hidden="false" customHeight="false" outlineLevel="0" collapsed="false">
      <c r="A734" s="96" t="n">
        <v>104</v>
      </c>
      <c r="B734" s="122" t="s">
        <v>126</v>
      </c>
      <c r="C734" s="98" t="n">
        <v>43255</v>
      </c>
      <c r="D734" s="87" t="n">
        <v>2</v>
      </c>
      <c r="E734" s="99" t="n">
        <v>1</v>
      </c>
      <c r="F734" s="124" t="s">
        <v>178</v>
      </c>
      <c r="G734" s="129" t="s">
        <v>894</v>
      </c>
    </row>
    <row r="735" s="125" customFormat="true" ht="14.4" hidden="false" customHeight="false" outlineLevel="0" collapsed="false">
      <c r="A735" s="96" t="n">
        <v>104</v>
      </c>
      <c r="B735" s="122" t="s">
        <v>126</v>
      </c>
      <c r="C735" s="98" t="n">
        <v>43373</v>
      </c>
      <c r="D735" s="87" t="n">
        <v>1</v>
      </c>
      <c r="E735" s="99" t="n">
        <v>1</v>
      </c>
      <c r="F735" s="124" t="s">
        <v>178</v>
      </c>
      <c r="G735" s="129" t="s">
        <v>895</v>
      </c>
    </row>
    <row r="736" s="125" customFormat="true" ht="14.4" hidden="false" customHeight="false" outlineLevel="0" collapsed="false">
      <c r="A736" s="96" t="n">
        <v>104</v>
      </c>
      <c r="B736" s="122" t="s">
        <v>126</v>
      </c>
      <c r="C736" s="98" t="n">
        <v>43250</v>
      </c>
      <c r="D736" s="87" t="n">
        <v>1</v>
      </c>
      <c r="E736" s="99" t="n">
        <v>1</v>
      </c>
      <c r="F736" s="124" t="s">
        <v>178</v>
      </c>
      <c r="G736" s="129" t="s">
        <v>896</v>
      </c>
    </row>
    <row r="737" s="125" customFormat="true" ht="14.4" hidden="false" customHeight="false" outlineLevel="0" collapsed="false">
      <c r="A737" s="96" t="n">
        <v>104</v>
      </c>
      <c r="B737" s="122" t="s">
        <v>126</v>
      </c>
      <c r="C737" s="98" t="n">
        <v>43249</v>
      </c>
      <c r="D737" s="87" t="n">
        <v>1</v>
      </c>
      <c r="E737" s="99" t="n">
        <v>1</v>
      </c>
      <c r="F737" s="124" t="s">
        <v>178</v>
      </c>
      <c r="G737" s="129" t="s">
        <v>897</v>
      </c>
    </row>
    <row r="738" s="125" customFormat="true" ht="14.4" hidden="false" customHeight="false" outlineLevel="0" collapsed="false">
      <c r="A738" s="96" t="n">
        <v>104</v>
      </c>
      <c r="B738" s="122" t="s">
        <v>126</v>
      </c>
      <c r="C738" s="98" t="n">
        <v>43249</v>
      </c>
      <c r="D738" s="87" t="n">
        <v>1</v>
      </c>
      <c r="E738" s="99" t="n">
        <v>1</v>
      </c>
      <c r="F738" s="124" t="s">
        <v>178</v>
      </c>
      <c r="G738" s="129" t="s">
        <v>898</v>
      </c>
    </row>
    <row r="739" s="125" customFormat="true" ht="14.4" hidden="false" customHeight="false" outlineLevel="0" collapsed="false">
      <c r="A739" s="96" t="n">
        <v>104</v>
      </c>
      <c r="B739" s="122" t="s">
        <v>126</v>
      </c>
      <c r="C739" s="98" t="n">
        <v>43249</v>
      </c>
      <c r="D739" s="87" t="n">
        <v>1</v>
      </c>
      <c r="E739" s="99" t="n">
        <v>1</v>
      </c>
      <c r="F739" s="124" t="s">
        <v>178</v>
      </c>
      <c r="G739" s="129" t="s">
        <v>899</v>
      </c>
    </row>
    <row r="740" s="125" customFormat="true" ht="14.4" hidden="false" customHeight="false" outlineLevel="0" collapsed="false">
      <c r="A740" s="96" t="n">
        <v>104</v>
      </c>
      <c r="B740" s="122" t="s">
        <v>126</v>
      </c>
      <c r="C740" s="98" t="n">
        <v>43249</v>
      </c>
      <c r="D740" s="87" t="n">
        <v>2</v>
      </c>
      <c r="E740" s="99" t="n">
        <v>1</v>
      </c>
      <c r="F740" s="124" t="s">
        <v>178</v>
      </c>
      <c r="G740" s="129" t="s">
        <v>900</v>
      </c>
    </row>
    <row r="741" s="125" customFormat="true" ht="14.4" hidden="false" customHeight="false" outlineLevel="0" collapsed="false">
      <c r="A741" s="96" t="n">
        <v>104</v>
      </c>
      <c r="B741" s="122" t="s">
        <v>126</v>
      </c>
      <c r="C741" s="98" t="n">
        <v>43248</v>
      </c>
      <c r="D741" s="87" t="n">
        <v>1</v>
      </c>
      <c r="E741" s="99" t="n">
        <v>1</v>
      </c>
      <c r="F741" s="124" t="s">
        <v>178</v>
      </c>
      <c r="G741" s="129" t="s">
        <v>901</v>
      </c>
    </row>
    <row r="742" s="125" customFormat="true" ht="14.4" hidden="false" customHeight="false" outlineLevel="0" collapsed="false">
      <c r="A742" s="96" t="n">
        <v>104</v>
      </c>
      <c r="B742" s="122" t="s">
        <v>126</v>
      </c>
      <c r="C742" s="98" t="n">
        <v>43248</v>
      </c>
      <c r="D742" s="87" t="n">
        <v>1</v>
      </c>
      <c r="E742" s="99" t="n">
        <v>1</v>
      </c>
      <c r="F742" s="124" t="s">
        <v>178</v>
      </c>
      <c r="G742" s="129" t="s">
        <v>902</v>
      </c>
    </row>
    <row r="743" s="125" customFormat="true" ht="14.4" hidden="false" customHeight="false" outlineLevel="0" collapsed="false">
      <c r="A743" s="96" t="n">
        <v>107</v>
      </c>
      <c r="B743" s="122" t="s">
        <v>129</v>
      </c>
      <c r="C743" s="98" t="n">
        <v>43248</v>
      </c>
      <c r="D743" s="87" t="n">
        <v>1</v>
      </c>
      <c r="E743" s="99" t="n">
        <v>1</v>
      </c>
      <c r="F743" s="124" t="s">
        <v>178</v>
      </c>
      <c r="G743" s="129" t="s">
        <v>903</v>
      </c>
    </row>
    <row r="744" s="125" customFormat="true" ht="14.4" hidden="false" customHeight="false" outlineLevel="0" collapsed="false">
      <c r="A744" s="96" t="n">
        <v>106</v>
      </c>
      <c r="B744" s="122" t="s">
        <v>128</v>
      </c>
      <c r="C744" s="98" t="n">
        <v>43248</v>
      </c>
      <c r="D744" s="87" t="n">
        <v>1</v>
      </c>
      <c r="E744" s="99" t="n">
        <v>1</v>
      </c>
      <c r="F744" s="124" t="s">
        <v>178</v>
      </c>
      <c r="G744" s="129" t="s">
        <v>904</v>
      </c>
    </row>
    <row r="745" s="125" customFormat="true" ht="14.4" hidden="false" customHeight="false" outlineLevel="0" collapsed="false">
      <c r="A745" s="96" t="n">
        <v>105</v>
      </c>
      <c r="B745" s="122" t="s">
        <v>127</v>
      </c>
      <c r="C745" s="98" t="n">
        <v>76120</v>
      </c>
      <c r="D745" s="87" t="n">
        <v>1</v>
      </c>
      <c r="E745" s="99" t="n">
        <v>1</v>
      </c>
      <c r="F745" s="124" t="s">
        <v>178</v>
      </c>
      <c r="G745" s="129" t="s">
        <v>905</v>
      </c>
    </row>
    <row r="746" s="125" customFormat="true" ht="14.4" hidden="false" customHeight="false" outlineLevel="0" collapsed="false">
      <c r="A746" s="96" t="n">
        <v>116</v>
      </c>
      <c r="B746" s="122" t="s">
        <v>883</v>
      </c>
      <c r="C746" s="98" t="n">
        <v>43245</v>
      </c>
      <c r="D746" s="87" t="n">
        <v>1</v>
      </c>
      <c r="E746" s="99" t="n">
        <v>1</v>
      </c>
      <c r="F746" s="124" t="s">
        <v>178</v>
      </c>
      <c r="G746" s="129" t="s">
        <v>906</v>
      </c>
    </row>
    <row r="747" s="125" customFormat="true" ht="14.4" hidden="false" customHeight="false" outlineLevel="0" collapsed="false">
      <c r="A747" s="96" t="n">
        <v>104</v>
      </c>
      <c r="B747" s="122" t="s">
        <v>126</v>
      </c>
      <c r="C747" s="98" t="n">
        <v>43245</v>
      </c>
      <c r="D747" s="87" t="n">
        <v>1</v>
      </c>
      <c r="E747" s="99" t="n">
        <v>1</v>
      </c>
      <c r="F747" s="124" t="s">
        <v>178</v>
      </c>
      <c r="G747" s="129" t="s">
        <v>907</v>
      </c>
    </row>
    <row r="748" s="125" customFormat="true" ht="14.4" hidden="false" customHeight="false" outlineLevel="0" collapsed="false">
      <c r="A748" s="96" t="n">
        <v>104</v>
      </c>
      <c r="B748" s="122" t="s">
        <v>126</v>
      </c>
      <c r="C748" s="98" t="n">
        <v>43245</v>
      </c>
      <c r="D748" s="87" t="n">
        <v>1</v>
      </c>
      <c r="E748" s="99" t="n">
        <v>1</v>
      </c>
      <c r="F748" s="124" t="s">
        <v>178</v>
      </c>
      <c r="G748" s="129" t="s">
        <v>908</v>
      </c>
    </row>
    <row r="749" s="125" customFormat="true" ht="14.4" hidden="false" customHeight="false" outlineLevel="0" collapsed="false">
      <c r="A749" s="96" t="n">
        <v>104</v>
      </c>
      <c r="B749" s="122" t="s">
        <v>126</v>
      </c>
      <c r="C749" s="98" t="n">
        <v>43242</v>
      </c>
      <c r="D749" s="87" t="n">
        <v>1</v>
      </c>
      <c r="E749" s="99" t="n">
        <v>1</v>
      </c>
      <c r="F749" s="124" t="s">
        <v>178</v>
      </c>
      <c r="G749" s="129" t="s">
        <v>909</v>
      </c>
    </row>
    <row r="750" s="125" customFormat="true" ht="14.4" hidden="false" customHeight="false" outlineLevel="0" collapsed="false">
      <c r="A750" s="96" t="n">
        <v>104</v>
      </c>
      <c r="B750" s="122" t="s">
        <v>126</v>
      </c>
      <c r="C750" s="98" t="n">
        <v>43242</v>
      </c>
      <c r="D750" s="87" t="n">
        <v>1</v>
      </c>
      <c r="E750" s="99" t="n">
        <v>1</v>
      </c>
      <c r="F750" s="124" t="s">
        <v>178</v>
      </c>
      <c r="G750" s="129" t="s">
        <v>910</v>
      </c>
    </row>
    <row r="751" s="125" customFormat="true" ht="14.4" hidden="false" customHeight="false" outlineLevel="0" collapsed="false">
      <c r="A751" s="96" t="n">
        <v>104</v>
      </c>
      <c r="B751" s="122" t="s">
        <v>126</v>
      </c>
      <c r="C751" s="98" t="n">
        <v>43241</v>
      </c>
      <c r="D751" s="87" t="n">
        <v>1</v>
      </c>
      <c r="E751" s="99" t="n">
        <v>1</v>
      </c>
      <c r="F751" s="124" t="s">
        <v>178</v>
      </c>
      <c r="G751" s="130" t="s">
        <v>911</v>
      </c>
    </row>
    <row r="752" s="125" customFormat="true" ht="14.4" hidden="false" customHeight="false" outlineLevel="0" collapsed="false">
      <c r="A752" s="96" t="n">
        <v>116</v>
      </c>
      <c r="B752" s="122" t="s">
        <v>883</v>
      </c>
      <c r="C752" s="98" t="n">
        <v>43241</v>
      </c>
      <c r="D752" s="87" t="n">
        <v>1</v>
      </c>
      <c r="E752" s="99" t="n">
        <v>1</v>
      </c>
      <c r="F752" s="124" t="s">
        <v>178</v>
      </c>
      <c r="G752" s="130" t="s">
        <v>912</v>
      </c>
    </row>
    <row r="753" s="125" customFormat="true" ht="14.4" hidden="false" customHeight="false" outlineLevel="0" collapsed="false">
      <c r="A753" s="96" t="n">
        <v>104</v>
      </c>
      <c r="B753" s="122" t="s">
        <v>126</v>
      </c>
      <c r="C753" s="98" t="n">
        <v>43236</v>
      </c>
      <c r="D753" s="87" t="n">
        <v>1</v>
      </c>
      <c r="E753" s="99" t="n">
        <v>1</v>
      </c>
      <c r="F753" s="124" t="s">
        <v>178</v>
      </c>
      <c r="G753" s="130" t="s">
        <v>913</v>
      </c>
    </row>
    <row r="754" s="125" customFormat="true" ht="14.4" hidden="false" customHeight="false" outlineLevel="0" collapsed="false">
      <c r="A754" s="96" t="n">
        <v>104</v>
      </c>
      <c r="B754" s="122" t="s">
        <v>126</v>
      </c>
      <c r="C754" s="98" t="n">
        <v>43236</v>
      </c>
      <c r="D754" s="87" t="n">
        <v>1</v>
      </c>
      <c r="E754" s="99" t="n">
        <v>1</v>
      </c>
      <c r="F754" s="124" t="s">
        <v>178</v>
      </c>
      <c r="G754" s="130" t="s">
        <v>914</v>
      </c>
    </row>
    <row r="755" s="125" customFormat="true" ht="14.4" hidden="false" customHeight="false" outlineLevel="0" collapsed="false">
      <c r="A755" s="96" t="n">
        <v>104</v>
      </c>
      <c r="B755" s="122" t="s">
        <v>126</v>
      </c>
      <c r="C755" s="98" t="n">
        <v>43234</v>
      </c>
      <c r="D755" s="87" t="n">
        <v>1</v>
      </c>
      <c r="E755" s="99" t="n">
        <v>1</v>
      </c>
      <c r="F755" s="124" t="s">
        <v>178</v>
      </c>
      <c r="G755" s="130" t="s">
        <v>915</v>
      </c>
    </row>
    <row r="756" s="125" customFormat="true" ht="14.4" hidden="false" customHeight="false" outlineLevel="0" collapsed="false">
      <c r="A756" s="96" t="n">
        <v>104</v>
      </c>
      <c r="B756" s="122" t="s">
        <v>126</v>
      </c>
      <c r="C756" s="98" t="n">
        <v>43234</v>
      </c>
      <c r="D756" s="87" t="n">
        <v>1</v>
      </c>
      <c r="E756" s="99" t="n">
        <v>1</v>
      </c>
      <c r="F756" s="124" t="s">
        <v>178</v>
      </c>
      <c r="G756" s="130" t="s">
        <v>916</v>
      </c>
    </row>
    <row r="757" s="125" customFormat="true" ht="14.4" hidden="false" customHeight="false" outlineLevel="0" collapsed="false">
      <c r="A757" s="96" t="n">
        <v>104</v>
      </c>
      <c r="B757" s="122" t="s">
        <v>126</v>
      </c>
      <c r="C757" s="98" t="n">
        <v>43234</v>
      </c>
      <c r="D757" s="87" t="n">
        <v>1</v>
      </c>
      <c r="E757" s="99" t="n">
        <v>1</v>
      </c>
      <c r="F757" s="124" t="s">
        <v>178</v>
      </c>
      <c r="G757" s="130" t="s">
        <v>917</v>
      </c>
    </row>
    <row r="758" s="125" customFormat="true" ht="27.4" hidden="false" customHeight="false" outlineLevel="0" collapsed="false">
      <c r="A758" s="96" t="n">
        <v>104</v>
      </c>
      <c r="B758" s="122" t="s">
        <v>126</v>
      </c>
      <c r="C758" s="98" t="n">
        <v>43232</v>
      </c>
      <c r="D758" s="87" t="n">
        <v>3</v>
      </c>
      <c r="E758" s="99" t="n">
        <v>1</v>
      </c>
      <c r="F758" s="124" t="s">
        <v>178</v>
      </c>
      <c r="G758" s="130" t="s">
        <v>918</v>
      </c>
    </row>
    <row r="759" s="125" customFormat="true" ht="14.4" hidden="false" customHeight="false" outlineLevel="0" collapsed="false">
      <c r="A759" s="96" t="n">
        <v>104</v>
      </c>
      <c r="B759" s="122" t="s">
        <v>126</v>
      </c>
      <c r="C759" s="98" t="n">
        <v>43231</v>
      </c>
      <c r="D759" s="87" t="n">
        <v>1</v>
      </c>
      <c r="E759" s="99" t="n">
        <v>1</v>
      </c>
      <c r="F759" s="124" t="s">
        <v>178</v>
      </c>
      <c r="G759" s="130" t="s">
        <v>919</v>
      </c>
    </row>
    <row r="760" s="125" customFormat="true" ht="14.4" hidden="false" customHeight="false" outlineLevel="0" collapsed="false">
      <c r="A760" s="96" t="n">
        <v>104</v>
      </c>
      <c r="B760" s="122" t="s">
        <v>126</v>
      </c>
      <c r="C760" s="98" t="n">
        <v>43231</v>
      </c>
      <c r="D760" s="87" t="n">
        <v>1</v>
      </c>
      <c r="E760" s="99" t="n">
        <v>1</v>
      </c>
      <c r="F760" s="124" t="s">
        <v>178</v>
      </c>
      <c r="G760" s="130" t="s">
        <v>920</v>
      </c>
    </row>
    <row r="761" s="125" customFormat="true" ht="14.4" hidden="false" customHeight="false" outlineLevel="0" collapsed="false">
      <c r="A761" s="96" t="n">
        <v>104</v>
      </c>
      <c r="B761" s="122" t="s">
        <v>126</v>
      </c>
      <c r="C761" s="98" t="n">
        <v>43231</v>
      </c>
      <c r="D761" s="87" t="n">
        <v>1</v>
      </c>
      <c r="E761" s="99" t="n">
        <v>1</v>
      </c>
      <c r="F761" s="124" t="s">
        <v>178</v>
      </c>
      <c r="G761" s="130" t="s">
        <v>593</v>
      </c>
    </row>
    <row r="762" s="125" customFormat="true" ht="14.4" hidden="false" customHeight="false" outlineLevel="0" collapsed="false">
      <c r="A762" s="96" t="n">
        <v>104</v>
      </c>
      <c r="B762" s="122" t="s">
        <v>126</v>
      </c>
      <c r="C762" s="98" t="n">
        <v>43230</v>
      </c>
      <c r="D762" s="87" t="n">
        <v>1</v>
      </c>
      <c r="E762" s="99" t="n">
        <v>1</v>
      </c>
      <c r="F762" s="124" t="s">
        <v>178</v>
      </c>
      <c r="G762" s="130" t="s">
        <v>921</v>
      </c>
    </row>
    <row r="763" s="125" customFormat="true" ht="14.4" hidden="false" customHeight="false" outlineLevel="0" collapsed="false">
      <c r="A763" s="96" t="n">
        <v>115</v>
      </c>
      <c r="B763" s="122" t="s">
        <v>867</v>
      </c>
      <c r="C763" s="98" t="n">
        <v>43230</v>
      </c>
      <c r="D763" s="87" t="n">
        <v>1</v>
      </c>
      <c r="E763" s="99" t="n">
        <v>1</v>
      </c>
      <c r="F763" s="124" t="s">
        <v>178</v>
      </c>
      <c r="G763" s="130" t="s">
        <v>922</v>
      </c>
    </row>
    <row r="764" s="125" customFormat="true" ht="14.4" hidden="false" customHeight="false" outlineLevel="0" collapsed="false">
      <c r="A764" s="96" t="n">
        <v>114</v>
      </c>
      <c r="B764" s="122" t="s">
        <v>923</v>
      </c>
      <c r="C764" s="98" t="n">
        <v>43230</v>
      </c>
      <c r="D764" s="87" t="n">
        <v>1</v>
      </c>
      <c r="E764" s="99" t="n">
        <v>1</v>
      </c>
      <c r="F764" s="124" t="s">
        <v>178</v>
      </c>
      <c r="G764" s="130" t="s">
        <v>922</v>
      </c>
    </row>
    <row r="765" s="125" customFormat="true" ht="14.4" hidden="false" customHeight="false" outlineLevel="0" collapsed="false">
      <c r="A765" s="96" t="n">
        <v>104</v>
      </c>
      <c r="B765" s="122" t="s">
        <v>126</v>
      </c>
      <c r="C765" s="98" t="n">
        <v>42134</v>
      </c>
      <c r="D765" s="87" t="n">
        <v>2</v>
      </c>
      <c r="E765" s="99" t="n">
        <v>1</v>
      </c>
      <c r="F765" s="124" t="s">
        <v>178</v>
      </c>
      <c r="G765" s="130" t="s">
        <v>924</v>
      </c>
    </row>
    <row r="766" s="125" customFormat="true" ht="14.4" hidden="false" customHeight="false" outlineLevel="0" collapsed="false">
      <c r="A766" s="96" t="n">
        <v>104</v>
      </c>
      <c r="B766" s="122" t="s">
        <v>126</v>
      </c>
      <c r="C766" s="98" t="n">
        <v>43228</v>
      </c>
      <c r="D766" s="87" t="n">
        <v>1</v>
      </c>
      <c r="E766" s="99" t="n">
        <v>1</v>
      </c>
      <c r="F766" s="124" t="s">
        <v>178</v>
      </c>
      <c r="G766" s="130" t="s">
        <v>925</v>
      </c>
    </row>
    <row r="767" s="125" customFormat="true" ht="14.4" hidden="false" customHeight="false" outlineLevel="0" collapsed="false">
      <c r="A767" s="96" t="n">
        <v>104</v>
      </c>
      <c r="B767" s="122" t="s">
        <v>126</v>
      </c>
      <c r="C767" s="98" t="n">
        <v>43228</v>
      </c>
      <c r="D767" s="87" t="n">
        <v>1</v>
      </c>
      <c r="E767" s="99" t="n">
        <v>1</v>
      </c>
      <c r="F767" s="124" t="s">
        <v>178</v>
      </c>
      <c r="G767" s="130" t="s">
        <v>926</v>
      </c>
    </row>
    <row r="768" s="125" customFormat="true" ht="14.4" hidden="false" customHeight="false" outlineLevel="0" collapsed="false">
      <c r="A768" s="96" t="n">
        <v>104</v>
      </c>
      <c r="B768" s="122" t="s">
        <v>126</v>
      </c>
      <c r="C768" s="98" t="n">
        <v>43227</v>
      </c>
      <c r="D768" s="87" t="n">
        <v>1</v>
      </c>
      <c r="E768" s="99" t="n">
        <v>1</v>
      </c>
      <c r="F768" s="124" t="s">
        <v>178</v>
      </c>
      <c r="G768" s="130" t="s">
        <v>927</v>
      </c>
    </row>
    <row r="769" s="125" customFormat="true" ht="14.4" hidden="false" customHeight="false" outlineLevel="0" collapsed="false">
      <c r="A769" s="96" t="n">
        <v>104</v>
      </c>
      <c r="B769" s="122" t="s">
        <v>126</v>
      </c>
      <c r="C769" s="98" t="n">
        <v>43227</v>
      </c>
      <c r="D769" s="87" t="n">
        <v>1</v>
      </c>
      <c r="E769" s="99" t="n">
        <v>1</v>
      </c>
      <c r="F769" s="124" t="s">
        <v>178</v>
      </c>
      <c r="G769" s="130" t="s">
        <v>928</v>
      </c>
    </row>
    <row r="770" s="125" customFormat="true" ht="14.4" hidden="false" customHeight="false" outlineLevel="0" collapsed="false">
      <c r="A770" s="96" t="n">
        <v>104</v>
      </c>
      <c r="B770" s="122" t="s">
        <v>126</v>
      </c>
      <c r="C770" s="98" t="n">
        <v>43225</v>
      </c>
      <c r="D770" s="87" t="n">
        <v>1</v>
      </c>
      <c r="E770" s="99" t="n">
        <v>1</v>
      </c>
      <c r="F770" s="124" t="s">
        <v>178</v>
      </c>
      <c r="G770" s="130" t="s">
        <v>929</v>
      </c>
    </row>
    <row r="771" s="125" customFormat="true" ht="14.4" hidden="false" customHeight="false" outlineLevel="0" collapsed="false">
      <c r="A771" s="96" t="n">
        <v>104</v>
      </c>
      <c r="B771" s="122" t="s">
        <v>126</v>
      </c>
      <c r="C771" s="98" t="n">
        <v>43224</v>
      </c>
      <c r="D771" s="87" t="n">
        <v>1</v>
      </c>
      <c r="E771" s="99" t="n">
        <v>1</v>
      </c>
      <c r="F771" s="124" t="s">
        <v>178</v>
      </c>
      <c r="G771" s="130" t="s">
        <v>930</v>
      </c>
    </row>
    <row r="772" s="125" customFormat="true" ht="14.4" hidden="false" customHeight="false" outlineLevel="0" collapsed="false">
      <c r="A772" s="96" t="n">
        <v>104</v>
      </c>
      <c r="B772" s="122" t="s">
        <v>126</v>
      </c>
      <c r="C772" s="98" t="n">
        <v>43223</v>
      </c>
      <c r="D772" s="87" t="n">
        <v>1</v>
      </c>
      <c r="E772" s="99" t="n">
        <v>1</v>
      </c>
      <c r="F772" s="124" t="s">
        <v>178</v>
      </c>
      <c r="G772" s="130" t="s">
        <v>931</v>
      </c>
    </row>
    <row r="773" s="125" customFormat="true" ht="14.4" hidden="false" customHeight="false" outlineLevel="0" collapsed="false">
      <c r="A773" s="96" t="n">
        <v>116</v>
      </c>
      <c r="B773" s="122" t="s">
        <v>883</v>
      </c>
      <c r="C773" s="98" t="n">
        <v>43222</v>
      </c>
      <c r="D773" s="87" t="n">
        <v>1</v>
      </c>
      <c r="E773" s="99" t="n">
        <v>1</v>
      </c>
      <c r="F773" s="124" t="s">
        <v>178</v>
      </c>
      <c r="G773" s="130" t="s">
        <v>932</v>
      </c>
    </row>
    <row r="774" s="125" customFormat="true" ht="14.4" hidden="false" customHeight="false" outlineLevel="0" collapsed="false">
      <c r="A774" s="96" t="n">
        <v>104</v>
      </c>
      <c r="B774" s="122" t="s">
        <v>126</v>
      </c>
      <c r="C774" s="98" t="n">
        <v>43222</v>
      </c>
      <c r="D774" s="87" t="n">
        <v>1</v>
      </c>
      <c r="E774" s="99" t="n">
        <v>1</v>
      </c>
      <c r="F774" s="124" t="s">
        <v>178</v>
      </c>
      <c r="G774" s="130" t="s">
        <v>933</v>
      </c>
    </row>
    <row r="775" s="125" customFormat="true" ht="14.4" hidden="false" customHeight="false" outlineLevel="0" collapsed="false">
      <c r="A775" s="96" t="n">
        <v>104</v>
      </c>
      <c r="B775" s="122" t="s">
        <v>126</v>
      </c>
      <c r="C775" s="98" t="n">
        <v>43221</v>
      </c>
      <c r="D775" s="87" t="n">
        <v>1</v>
      </c>
      <c r="E775" s="99" t="n">
        <v>1</v>
      </c>
      <c r="F775" s="124" t="s">
        <v>178</v>
      </c>
      <c r="G775" s="130" t="s">
        <v>934</v>
      </c>
    </row>
    <row r="776" s="125" customFormat="true" ht="14.4" hidden="false" customHeight="false" outlineLevel="0" collapsed="false">
      <c r="A776" s="96" t="n">
        <v>104</v>
      </c>
      <c r="B776" s="122" t="s">
        <v>126</v>
      </c>
      <c r="C776" s="98" t="n">
        <v>43221</v>
      </c>
      <c r="D776" s="87" t="n">
        <v>1</v>
      </c>
      <c r="E776" s="99" t="n">
        <v>1</v>
      </c>
      <c r="F776" s="124" t="s">
        <v>178</v>
      </c>
      <c r="G776" s="130" t="s">
        <v>935</v>
      </c>
    </row>
    <row r="777" s="125" customFormat="true" ht="14.4" hidden="false" customHeight="false" outlineLevel="0" collapsed="false">
      <c r="A777" s="96" t="n">
        <v>104</v>
      </c>
      <c r="B777" s="122" t="s">
        <v>126</v>
      </c>
      <c r="C777" s="98" t="n">
        <v>43220</v>
      </c>
      <c r="D777" s="87" t="n">
        <v>1</v>
      </c>
      <c r="E777" s="99" t="n">
        <v>1</v>
      </c>
      <c r="F777" s="124" t="s">
        <v>178</v>
      </c>
      <c r="G777" s="130" t="s">
        <v>936</v>
      </c>
    </row>
    <row r="778" s="125" customFormat="true" ht="14.4" hidden="false" customHeight="false" outlineLevel="0" collapsed="false">
      <c r="A778" s="96" t="n">
        <v>104</v>
      </c>
      <c r="B778" s="122" t="s">
        <v>126</v>
      </c>
      <c r="C778" s="98" t="n">
        <v>43220</v>
      </c>
      <c r="D778" s="87" t="n">
        <v>1</v>
      </c>
      <c r="E778" s="99" t="n">
        <v>1</v>
      </c>
      <c r="F778" s="124" t="s">
        <v>178</v>
      </c>
      <c r="G778" s="130" t="s">
        <v>937</v>
      </c>
    </row>
    <row r="779" s="125" customFormat="true" ht="14.4" hidden="false" customHeight="false" outlineLevel="0" collapsed="false">
      <c r="A779" s="96" t="n">
        <v>104</v>
      </c>
      <c r="B779" s="122" t="s">
        <v>126</v>
      </c>
      <c r="C779" s="98" t="n">
        <v>43220</v>
      </c>
      <c r="D779" s="87" t="n">
        <v>1</v>
      </c>
      <c r="E779" s="99" t="n">
        <v>1</v>
      </c>
      <c r="F779" s="124" t="s">
        <v>178</v>
      </c>
      <c r="G779" s="130" t="s">
        <v>938</v>
      </c>
    </row>
    <row r="780" s="125" customFormat="true" ht="14.4" hidden="false" customHeight="false" outlineLevel="0" collapsed="false">
      <c r="A780" s="96" t="n">
        <v>104</v>
      </c>
      <c r="B780" s="122" t="s">
        <v>126</v>
      </c>
      <c r="C780" s="98" t="n">
        <v>43220</v>
      </c>
      <c r="D780" s="87" t="n">
        <v>1</v>
      </c>
      <c r="E780" s="99" t="n">
        <v>1</v>
      </c>
      <c r="F780" s="124" t="s">
        <v>178</v>
      </c>
      <c r="G780" s="130" t="s">
        <v>939</v>
      </c>
    </row>
    <row r="781" s="125" customFormat="true" ht="15" hidden="false" customHeight="true" outlineLevel="0" collapsed="false">
      <c r="A781" s="96" t="n">
        <v>104</v>
      </c>
      <c r="B781" s="122" t="s">
        <v>126</v>
      </c>
      <c r="C781" s="98" t="n">
        <v>43220</v>
      </c>
      <c r="D781" s="87" t="n">
        <v>2</v>
      </c>
      <c r="E781" s="99" t="n">
        <v>1</v>
      </c>
      <c r="F781" s="124" t="s">
        <v>178</v>
      </c>
      <c r="G781" s="130" t="s">
        <v>940</v>
      </c>
    </row>
    <row r="782" s="125" customFormat="true" ht="14.4" hidden="false" customHeight="false" outlineLevel="0" collapsed="false">
      <c r="A782" s="96" t="n">
        <v>104</v>
      </c>
      <c r="B782" s="122" t="s">
        <v>126</v>
      </c>
      <c r="C782" s="98" t="n">
        <v>43217</v>
      </c>
      <c r="D782" s="87" t="n">
        <v>1</v>
      </c>
      <c r="E782" s="99" t="n">
        <v>1</v>
      </c>
      <c r="F782" s="124" t="s">
        <v>178</v>
      </c>
      <c r="G782" s="130" t="s">
        <v>941</v>
      </c>
    </row>
    <row r="783" s="125" customFormat="true" ht="14.4" hidden="false" customHeight="false" outlineLevel="0" collapsed="false">
      <c r="A783" s="96" t="n">
        <v>104</v>
      </c>
      <c r="B783" s="122" t="s">
        <v>126</v>
      </c>
      <c r="C783" s="98" t="n">
        <v>43217</v>
      </c>
      <c r="D783" s="87" t="n">
        <v>1</v>
      </c>
      <c r="E783" s="99" t="n">
        <v>1</v>
      </c>
      <c r="F783" s="124" t="s">
        <v>178</v>
      </c>
      <c r="G783" s="130" t="s">
        <v>942</v>
      </c>
    </row>
    <row r="784" s="125" customFormat="true" ht="14.4" hidden="false" customHeight="false" outlineLevel="0" collapsed="false">
      <c r="A784" s="96" t="n">
        <v>116</v>
      </c>
      <c r="B784" s="122" t="s">
        <v>883</v>
      </c>
      <c r="C784" s="98" t="n">
        <v>43216</v>
      </c>
      <c r="D784" s="87" t="n">
        <v>1</v>
      </c>
      <c r="E784" s="99" t="n">
        <v>1</v>
      </c>
      <c r="F784" s="124" t="s">
        <v>178</v>
      </c>
      <c r="G784" s="130" t="s">
        <v>943</v>
      </c>
    </row>
    <row r="785" s="125" customFormat="true" ht="14.4" hidden="false" customHeight="false" outlineLevel="0" collapsed="false">
      <c r="A785" s="96" t="n">
        <v>104</v>
      </c>
      <c r="B785" s="122" t="s">
        <v>126</v>
      </c>
      <c r="C785" s="98" t="n">
        <v>43216</v>
      </c>
      <c r="D785" s="87" t="n">
        <v>1</v>
      </c>
      <c r="E785" s="99" t="n">
        <v>1</v>
      </c>
      <c r="F785" s="124" t="s">
        <v>178</v>
      </c>
      <c r="G785" s="130" t="s">
        <v>944</v>
      </c>
    </row>
    <row r="786" s="125" customFormat="true" ht="14.4" hidden="false" customHeight="false" outlineLevel="0" collapsed="false">
      <c r="A786" s="96" t="n">
        <v>104</v>
      </c>
      <c r="B786" s="122" t="s">
        <v>126</v>
      </c>
      <c r="C786" s="98" t="n">
        <v>43216</v>
      </c>
      <c r="D786" s="87" t="n">
        <v>1</v>
      </c>
      <c r="E786" s="99" t="n">
        <v>1</v>
      </c>
      <c r="F786" s="124" t="s">
        <v>178</v>
      </c>
      <c r="G786" s="130" t="s">
        <v>945</v>
      </c>
    </row>
    <row r="787" s="125" customFormat="true" ht="14.4" hidden="false" customHeight="false" outlineLevel="0" collapsed="false">
      <c r="A787" s="96" t="n">
        <v>18</v>
      </c>
      <c r="B787" s="122" t="s">
        <v>40</v>
      </c>
      <c r="C787" s="98" t="n">
        <v>43215</v>
      </c>
      <c r="D787" s="87" t="n">
        <v>1</v>
      </c>
      <c r="E787" s="99" t="n">
        <v>1</v>
      </c>
      <c r="F787" s="124" t="s">
        <v>178</v>
      </c>
      <c r="G787" s="130" t="s">
        <v>946</v>
      </c>
    </row>
    <row r="788" s="125" customFormat="true" ht="14.4" hidden="false" customHeight="false" outlineLevel="0" collapsed="false">
      <c r="A788" s="96" t="n">
        <v>104</v>
      </c>
      <c r="B788" s="122" t="s">
        <v>126</v>
      </c>
      <c r="C788" s="98" t="n">
        <v>43215</v>
      </c>
      <c r="D788" s="87" t="n">
        <v>1</v>
      </c>
      <c r="E788" s="99" t="n">
        <v>1</v>
      </c>
      <c r="F788" s="124" t="s">
        <v>178</v>
      </c>
      <c r="G788" s="130" t="s">
        <v>947</v>
      </c>
    </row>
    <row r="789" s="125" customFormat="true" ht="14.4" hidden="false" customHeight="false" outlineLevel="0" collapsed="false">
      <c r="A789" s="96" t="n">
        <v>104</v>
      </c>
      <c r="B789" s="122" t="s">
        <v>126</v>
      </c>
      <c r="C789" s="98" t="n">
        <v>43215</v>
      </c>
      <c r="D789" s="87" t="n">
        <v>1</v>
      </c>
      <c r="E789" s="99" t="n">
        <v>1</v>
      </c>
      <c r="F789" s="124" t="s">
        <v>178</v>
      </c>
      <c r="G789" s="130" t="s">
        <v>948</v>
      </c>
    </row>
    <row r="790" s="125" customFormat="true" ht="12.75" hidden="false" customHeight="true" outlineLevel="0" collapsed="false">
      <c r="A790" s="96" t="n">
        <v>104</v>
      </c>
      <c r="B790" s="122" t="s">
        <v>126</v>
      </c>
      <c r="C790" s="98" t="n">
        <v>43214</v>
      </c>
      <c r="D790" s="87" t="n">
        <v>1</v>
      </c>
      <c r="E790" s="99" t="n">
        <v>1</v>
      </c>
      <c r="F790" s="124" t="s">
        <v>178</v>
      </c>
      <c r="G790" s="130" t="s">
        <v>949</v>
      </c>
    </row>
    <row r="791" s="125" customFormat="true" ht="12.75" hidden="false" customHeight="true" outlineLevel="0" collapsed="false">
      <c r="A791" s="96" t="n">
        <v>104</v>
      </c>
      <c r="B791" s="122" t="s">
        <v>126</v>
      </c>
      <c r="C791" s="98" t="n">
        <v>43212</v>
      </c>
      <c r="D791" s="87" t="n">
        <v>1</v>
      </c>
      <c r="E791" s="99" t="n">
        <v>1</v>
      </c>
      <c r="F791" s="124" t="s">
        <v>178</v>
      </c>
      <c r="G791" s="130" t="s">
        <v>950</v>
      </c>
    </row>
    <row r="792" s="125" customFormat="true" ht="12.75" hidden="false" customHeight="true" outlineLevel="0" collapsed="false">
      <c r="A792" s="96" t="n">
        <v>104</v>
      </c>
      <c r="B792" s="122" t="s">
        <v>126</v>
      </c>
      <c r="C792" s="98" t="n">
        <v>43210</v>
      </c>
      <c r="D792" s="87" t="n">
        <v>2</v>
      </c>
      <c r="E792" s="99" t="n">
        <v>1</v>
      </c>
      <c r="F792" s="124" t="s">
        <v>178</v>
      </c>
      <c r="G792" s="131" t="s">
        <v>951</v>
      </c>
    </row>
    <row r="793" s="125" customFormat="true" ht="12.75" hidden="false" customHeight="true" outlineLevel="0" collapsed="false">
      <c r="A793" s="96" t="n">
        <v>104</v>
      </c>
      <c r="B793" s="122" t="s">
        <v>126</v>
      </c>
      <c r="C793" s="98" t="n">
        <v>43209</v>
      </c>
      <c r="D793" s="87" t="n">
        <v>1</v>
      </c>
      <c r="E793" s="99" t="n">
        <v>1</v>
      </c>
      <c r="F793" s="124" t="s">
        <v>178</v>
      </c>
      <c r="G793" s="131" t="s">
        <v>952</v>
      </c>
    </row>
    <row r="794" s="125" customFormat="true" ht="12.75" hidden="false" customHeight="true" outlineLevel="0" collapsed="false">
      <c r="A794" s="96" t="n">
        <v>104</v>
      </c>
      <c r="B794" s="122" t="s">
        <v>126</v>
      </c>
      <c r="C794" s="98" t="n">
        <v>43208</v>
      </c>
      <c r="D794" s="87" t="n">
        <v>1</v>
      </c>
      <c r="E794" s="99" t="n">
        <v>1</v>
      </c>
      <c r="F794" s="124" t="s">
        <v>178</v>
      </c>
      <c r="G794" s="131" t="s">
        <v>953</v>
      </c>
    </row>
    <row r="795" s="125" customFormat="true" ht="12.75" hidden="false" customHeight="true" outlineLevel="0" collapsed="false">
      <c r="A795" s="96" t="n">
        <v>104</v>
      </c>
      <c r="B795" s="122" t="s">
        <v>126</v>
      </c>
      <c r="C795" s="98" t="n">
        <v>43207</v>
      </c>
      <c r="D795" s="87" t="n">
        <v>1</v>
      </c>
      <c r="E795" s="99" t="n">
        <v>1</v>
      </c>
      <c r="F795" s="124" t="s">
        <v>178</v>
      </c>
      <c r="G795" s="131" t="s">
        <v>954</v>
      </c>
    </row>
    <row r="796" s="125" customFormat="true" ht="12.75" hidden="false" customHeight="true" outlineLevel="0" collapsed="false">
      <c r="A796" s="96" t="n">
        <v>104</v>
      </c>
      <c r="B796" s="122" t="s">
        <v>126</v>
      </c>
      <c r="C796" s="98" t="n">
        <v>43207</v>
      </c>
      <c r="D796" s="87" t="n">
        <v>1</v>
      </c>
      <c r="E796" s="99" t="n">
        <v>1</v>
      </c>
      <c r="F796" s="124" t="s">
        <v>178</v>
      </c>
      <c r="G796" s="131" t="s">
        <v>955</v>
      </c>
    </row>
    <row r="797" s="125" customFormat="true" ht="12.75" hidden="false" customHeight="true" outlineLevel="0" collapsed="false">
      <c r="A797" s="96" t="n">
        <v>104</v>
      </c>
      <c r="B797" s="122" t="s">
        <v>126</v>
      </c>
      <c r="C797" s="98" t="n">
        <v>43206</v>
      </c>
      <c r="D797" s="87" t="n">
        <v>1</v>
      </c>
      <c r="E797" s="99" t="n">
        <v>1</v>
      </c>
      <c r="F797" s="124" t="s">
        <v>178</v>
      </c>
      <c r="G797" s="132" t="s">
        <v>956</v>
      </c>
    </row>
    <row r="798" s="125" customFormat="true" ht="12.75" hidden="false" customHeight="true" outlineLevel="0" collapsed="false">
      <c r="A798" s="96" t="n">
        <v>104</v>
      </c>
      <c r="B798" s="122" t="s">
        <v>126</v>
      </c>
      <c r="C798" s="98" t="n">
        <v>43206</v>
      </c>
      <c r="D798" s="87" t="n">
        <v>1</v>
      </c>
      <c r="E798" s="99" t="n">
        <v>1</v>
      </c>
      <c r="F798" s="124" t="s">
        <v>178</v>
      </c>
      <c r="G798" s="132" t="s">
        <v>957</v>
      </c>
    </row>
    <row r="799" s="125" customFormat="true" ht="12.75" hidden="false" customHeight="true" outlineLevel="0" collapsed="false">
      <c r="A799" s="96" t="n">
        <v>116</v>
      </c>
      <c r="B799" s="122" t="s">
        <v>883</v>
      </c>
      <c r="C799" s="98" t="n">
        <v>43206</v>
      </c>
      <c r="D799" s="87" t="n">
        <v>1</v>
      </c>
      <c r="E799" s="99" t="n">
        <v>1</v>
      </c>
      <c r="F799" s="124" t="s">
        <v>178</v>
      </c>
      <c r="G799" s="133" t="s">
        <v>958</v>
      </c>
    </row>
    <row r="800" s="125" customFormat="true" ht="12.75" hidden="false" customHeight="true" outlineLevel="0" collapsed="false">
      <c r="A800" s="96" t="n">
        <v>104</v>
      </c>
      <c r="B800" s="122" t="s">
        <v>126</v>
      </c>
      <c r="C800" s="98" t="n">
        <v>43206</v>
      </c>
      <c r="D800" s="87" t="n">
        <v>1</v>
      </c>
      <c r="E800" s="99" t="n">
        <v>1</v>
      </c>
      <c r="F800" s="124" t="s">
        <v>178</v>
      </c>
      <c r="G800" s="133" t="s">
        <v>959</v>
      </c>
    </row>
    <row r="801" s="125" customFormat="true" ht="12.75" hidden="false" customHeight="true" outlineLevel="0" collapsed="false">
      <c r="A801" s="96" t="n">
        <v>104</v>
      </c>
      <c r="B801" s="122" t="s">
        <v>126</v>
      </c>
      <c r="C801" s="98" t="n">
        <v>43206</v>
      </c>
      <c r="D801" s="87" t="n">
        <v>1</v>
      </c>
      <c r="E801" s="99" t="n">
        <v>1</v>
      </c>
      <c r="F801" s="124" t="s">
        <v>178</v>
      </c>
      <c r="G801" s="132" t="s">
        <v>960</v>
      </c>
    </row>
    <row r="802" s="125" customFormat="true" ht="12.75" hidden="false" customHeight="true" outlineLevel="0" collapsed="false">
      <c r="A802" s="96" t="n">
        <v>104</v>
      </c>
      <c r="B802" s="122" t="s">
        <v>126</v>
      </c>
      <c r="C802" s="98" t="n">
        <v>43206</v>
      </c>
      <c r="D802" s="87" t="n">
        <v>1</v>
      </c>
      <c r="E802" s="99" t="n">
        <v>1</v>
      </c>
      <c r="F802" s="124" t="s">
        <v>178</v>
      </c>
      <c r="G802" s="132" t="s">
        <v>961</v>
      </c>
    </row>
    <row r="803" s="125" customFormat="true" ht="12.75" hidden="false" customHeight="true" outlineLevel="0" collapsed="false">
      <c r="A803" s="96" t="n">
        <v>104</v>
      </c>
      <c r="B803" s="122" t="s">
        <v>126</v>
      </c>
      <c r="C803" s="98" t="n">
        <v>43203</v>
      </c>
      <c r="D803" s="87" t="n">
        <v>1</v>
      </c>
      <c r="E803" s="99" t="n">
        <v>1</v>
      </c>
      <c r="F803" s="124" t="s">
        <v>178</v>
      </c>
      <c r="G803" s="134" t="s">
        <v>962</v>
      </c>
    </row>
    <row r="804" s="125" customFormat="true" ht="12.75" hidden="false" customHeight="true" outlineLevel="0" collapsed="false">
      <c r="A804" s="96" t="n">
        <v>104</v>
      </c>
      <c r="B804" s="122" t="s">
        <v>126</v>
      </c>
      <c r="C804" s="98" t="n">
        <v>43203</v>
      </c>
      <c r="D804" s="87" t="n">
        <v>3</v>
      </c>
      <c r="E804" s="99" t="n">
        <v>1</v>
      </c>
      <c r="F804" s="124" t="s">
        <v>178</v>
      </c>
      <c r="G804" s="132" t="s">
        <v>963</v>
      </c>
    </row>
    <row r="805" s="125" customFormat="true" ht="12.75" hidden="false" customHeight="true" outlineLevel="0" collapsed="false">
      <c r="A805" s="96" t="n">
        <v>104</v>
      </c>
      <c r="B805" s="122" t="s">
        <v>126</v>
      </c>
      <c r="C805" s="98" t="n">
        <v>43202</v>
      </c>
      <c r="D805" s="87" t="n">
        <v>2</v>
      </c>
      <c r="E805" s="99" t="n">
        <v>1</v>
      </c>
      <c r="F805" s="124" t="s">
        <v>178</v>
      </c>
      <c r="G805" s="133" t="s">
        <v>964</v>
      </c>
    </row>
    <row r="806" s="125" customFormat="true" ht="12.75" hidden="false" customHeight="true" outlineLevel="0" collapsed="false">
      <c r="A806" s="96" t="n">
        <v>104</v>
      </c>
      <c r="B806" s="122" t="s">
        <v>126</v>
      </c>
      <c r="C806" s="98" t="n">
        <v>43202</v>
      </c>
      <c r="D806" s="87" t="n">
        <v>1</v>
      </c>
      <c r="E806" s="99" t="n">
        <v>1</v>
      </c>
      <c r="F806" s="124" t="s">
        <v>178</v>
      </c>
      <c r="G806" s="133" t="s">
        <v>965</v>
      </c>
    </row>
    <row r="807" s="125" customFormat="true" ht="12.75" hidden="false" customHeight="true" outlineLevel="0" collapsed="false">
      <c r="A807" s="96" t="n">
        <v>104</v>
      </c>
      <c r="B807" s="122" t="s">
        <v>126</v>
      </c>
      <c r="C807" s="98" t="n">
        <v>43200</v>
      </c>
      <c r="D807" s="87" t="n">
        <v>1</v>
      </c>
      <c r="E807" s="99" t="n">
        <v>1</v>
      </c>
      <c r="F807" s="124" t="s">
        <v>178</v>
      </c>
      <c r="G807" s="133" t="s">
        <v>966</v>
      </c>
    </row>
    <row r="808" s="125" customFormat="true" ht="12.75" hidden="false" customHeight="true" outlineLevel="0" collapsed="false">
      <c r="A808" s="96" t="n">
        <v>104</v>
      </c>
      <c r="B808" s="122" t="s">
        <v>126</v>
      </c>
      <c r="C808" s="98" t="n">
        <v>43200</v>
      </c>
      <c r="D808" s="87" t="n">
        <v>1</v>
      </c>
      <c r="E808" s="99" t="n">
        <v>1</v>
      </c>
      <c r="F808" s="124" t="s">
        <v>178</v>
      </c>
      <c r="G808" s="133" t="s">
        <v>967</v>
      </c>
    </row>
    <row r="809" s="125" customFormat="true" ht="12.75" hidden="false" customHeight="true" outlineLevel="0" collapsed="false">
      <c r="A809" s="96" t="n">
        <v>104</v>
      </c>
      <c r="B809" s="122" t="s">
        <v>126</v>
      </c>
      <c r="C809" s="98" t="n">
        <v>43199</v>
      </c>
      <c r="D809" s="87" t="n">
        <v>1</v>
      </c>
      <c r="E809" s="99" t="n">
        <v>1</v>
      </c>
      <c r="F809" s="124" t="s">
        <v>178</v>
      </c>
      <c r="G809" s="133" t="s">
        <v>968</v>
      </c>
    </row>
    <row r="810" s="125" customFormat="true" ht="12.75" hidden="false" customHeight="true" outlineLevel="0" collapsed="false">
      <c r="A810" s="96" t="n">
        <v>104</v>
      </c>
      <c r="B810" s="122" t="s">
        <v>126</v>
      </c>
      <c r="C810" s="98" t="n">
        <v>43196</v>
      </c>
      <c r="D810" s="87" t="n">
        <v>1</v>
      </c>
      <c r="E810" s="99" t="n">
        <v>1</v>
      </c>
      <c r="F810" s="124" t="s">
        <v>178</v>
      </c>
      <c r="G810" s="133" t="s">
        <v>969</v>
      </c>
    </row>
    <row r="811" s="125" customFormat="true" ht="12.75" hidden="false" customHeight="true" outlineLevel="0" collapsed="false">
      <c r="A811" s="96" t="n">
        <v>104</v>
      </c>
      <c r="B811" s="122" t="s">
        <v>126</v>
      </c>
      <c r="C811" s="98" t="n">
        <v>43196</v>
      </c>
      <c r="D811" s="87" t="n">
        <v>1</v>
      </c>
      <c r="E811" s="99" t="n">
        <v>1</v>
      </c>
      <c r="F811" s="124" t="s">
        <v>178</v>
      </c>
      <c r="G811" s="133" t="s">
        <v>970</v>
      </c>
    </row>
    <row r="812" s="125" customFormat="true" ht="12.75" hidden="false" customHeight="true" outlineLevel="0" collapsed="false">
      <c r="A812" s="96" t="n">
        <v>104</v>
      </c>
      <c r="B812" s="122" t="s">
        <v>126</v>
      </c>
      <c r="C812" s="98" t="n">
        <v>43196</v>
      </c>
      <c r="D812" s="87" t="n">
        <v>1</v>
      </c>
      <c r="E812" s="99" t="n">
        <v>1</v>
      </c>
      <c r="F812" s="124" t="s">
        <v>178</v>
      </c>
      <c r="G812" s="133" t="s">
        <v>971</v>
      </c>
    </row>
    <row r="813" s="125" customFormat="true" ht="12.75" hidden="false" customHeight="true" outlineLevel="0" collapsed="false">
      <c r="A813" s="96" t="n">
        <v>104</v>
      </c>
      <c r="B813" s="122" t="s">
        <v>126</v>
      </c>
      <c r="C813" s="98" t="n">
        <v>43196</v>
      </c>
      <c r="D813" s="87" t="n">
        <v>1</v>
      </c>
      <c r="E813" s="99" t="n">
        <v>1</v>
      </c>
      <c r="F813" s="124" t="s">
        <v>178</v>
      </c>
      <c r="G813" s="133" t="s">
        <v>972</v>
      </c>
    </row>
    <row r="814" s="125" customFormat="true" ht="12.75" hidden="false" customHeight="true" outlineLevel="0" collapsed="false">
      <c r="A814" s="96" t="n">
        <v>104</v>
      </c>
      <c r="B814" s="122" t="s">
        <v>126</v>
      </c>
      <c r="C814" s="98" t="n">
        <v>42099</v>
      </c>
      <c r="D814" s="87" t="n">
        <v>1</v>
      </c>
      <c r="E814" s="99" t="n">
        <v>1</v>
      </c>
      <c r="F814" s="124" t="s">
        <v>178</v>
      </c>
      <c r="G814" s="135" t="s">
        <v>973</v>
      </c>
    </row>
    <row r="815" s="125" customFormat="true" ht="12.75" hidden="false" customHeight="true" outlineLevel="0" collapsed="false">
      <c r="A815" s="96" t="n">
        <v>104</v>
      </c>
      <c r="B815" s="122" t="s">
        <v>126</v>
      </c>
      <c r="C815" s="98" t="n">
        <v>43194</v>
      </c>
      <c r="D815" s="87" t="n">
        <v>1</v>
      </c>
      <c r="E815" s="99" t="n">
        <v>1</v>
      </c>
      <c r="F815" s="124" t="s">
        <v>178</v>
      </c>
      <c r="G815" s="133" t="s">
        <v>974</v>
      </c>
    </row>
    <row r="816" s="125" customFormat="true" ht="12.75" hidden="false" customHeight="true" outlineLevel="0" collapsed="false">
      <c r="A816" s="96" t="n">
        <v>116</v>
      </c>
      <c r="B816" s="122" t="s">
        <v>883</v>
      </c>
      <c r="C816" s="98" t="n">
        <v>43192</v>
      </c>
      <c r="D816" s="87" t="n">
        <v>1</v>
      </c>
      <c r="E816" s="99" t="n">
        <v>1</v>
      </c>
      <c r="F816" s="124" t="s">
        <v>178</v>
      </c>
      <c r="G816" s="133" t="s">
        <v>975</v>
      </c>
    </row>
    <row r="817" s="125" customFormat="true" ht="12.75" hidden="false" customHeight="true" outlineLevel="0" collapsed="false">
      <c r="A817" s="96" t="n">
        <v>104</v>
      </c>
      <c r="B817" s="122" t="s">
        <v>126</v>
      </c>
      <c r="C817" s="98" t="n">
        <v>43192</v>
      </c>
      <c r="D817" s="87" t="n">
        <v>1</v>
      </c>
      <c r="E817" s="99" t="n">
        <v>1</v>
      </c>
      <c r="F817" s="124" t="s">
        <v>178</v>
      </c>
      <c r="G817" s="133" t="s">
        <v>976</v>
      </c>
    </row>
    <row r="818" s="125" customFormat="true" ht="12.75" hidden="false" customHeight="true" outlineLevel="0" collapsed="false">
      <c r="A818" s="96" t="n">
        <v>104</v>
      </c>
      <c r="B818" s="122" t="s">
        <v>126</v>
      </c>
      <c r="C818" s="98" t="n">
        <v>43192</v>
      </c>
      <c r="D818" s="87" t="n">
        <v>1</v>
      </c>
      <c r="E818" s="99" t="n">
        <v>1</v>
      </c>
      <c r="F818" s="124" t="s">
        <v>178</v>
      </c>
      <c r="G818" s="133" t="s">
        <v>977</v>
      </c>
    </row>
    <row r="819" s="125" customFormat="true" ht="12.75" hidden="false" customHeight="true" outlineLevel="0" collapsed="false">
      <c r="A819" s="96" t="n">
        <v>104</v>
      </c>
      <c r="B819" s="122" t="s">
        <v>126</v>
      </c>
      <c r="C819" s="98" t="n">
        <v>43192</v>
      </c>
      <c r="D819" s="87" t="n">
        <v>1</v>
      </c>
      <c r="E819" s="99" t="n">
        <v>1</v>
      </c>
      <c r="F819" s="124" t="s">
        <v>178</v>
      </c>
      <c r="G819" s="133" t="s">
        <v>978</v>
      </c>
    </row>
    <row r="820" s="125" customFormat="true" ht="12.75" hidden="false" customHeight="true" outlineLevel="0" collapsed="false">
      <c r="A820" s="96" t="n">
        <v>104</v>
      </c>
      <c r="B820" s="122" t="s">
        <v>126</v>
      </c>
      <c r="C820" s="98" t="n">
        <v>43192</v>
      </c>
      <c r="D820" s="87" t="n">
        <v>1</v>
      </c>
      <c r="E820" s="99" t="n">
        <v>1</v>
      </c>
      <c r="F820" s="124" t="s">
        <v>178</v>
      </c>
      <c r="G820" s="134" t="s">
        <v>979</v>
      </c>
    </row>
    <row r="821" s="125" customFormat="true" ht="12.75" hidden="false" customHeight="true" outlineLevel="0" collapsed="false">
      <c r="A821" s="96" t="n">
        <v>104</v>
      </c>
      <c r="B821" s="122" t="s">
        <v>126</v>
      </c>
      <c r="C821" s="98" t="n">
        <v>43188</v>
      </c>
      <c r="D821" s="87" t="n">
        <v>1</v>
      </c>
      <c r="E821" s="99" t="n">
        <v>1</v>
      </c>
      <c r="F821" s="124" t="s">
        <v>178</v>
      </c>
      <c r="G821" s="136" t="s">
        <v>980</v>
      </c>
    </row>
    <row r="822" s="125" customFormat="true" ht="12.75" hidden="false" customHeight="true" outlineLevel="0" collapsed="false">
      <c r="A822" s="96" t="n">
        <v>104</v>
      </c>
      <c r="B822" s="122" t="s">
        <v>126</v>
      </c>
      <c r="C822" s="98" t="n">
        <v>43188</v>
      </c>
      <c r="D822" s="87" t="n">
        <v>1</v>
      </c>
      <c r="E822" s="99" t="n">
        <v>1</v>
      </c>
      <c r="F822" s="124" t="s">
        <v>178</v>
      </c>
      <c r="G822" s="136" t="s">
        <v>981</v>
      </c>
    </row>
    <row r="823" s="125" customFormat="true" ht="12.75" hidden="false" customHeight="true" outlineLevel="0" collapsed="false">
      <c r="A823" s="96" t="n">
        <v>104</v>
      </c>
      <c r="B823" s="122" t="s">
        <v>126</v>
      </c>
      <c r="C823" s="98" t="n">
        <v>43187</v>
      </c>
      <c r="D823" s="87" t="n">
        <v>1</v>
      </c>
      <c r="E823" s="99" t="n">
        <v>1</v>
      </c>
      <c r="F823" s="124" t="s">
        <v>178</v>
      </c>
      <c r="G823" s="136" t="s">
        <v>982</v>
      </c>
    </row>
    <row r="824" s="125" customFormat="true" ht="12.75" hidden="false" customHeight="true" outlineLevel="0" collapsed="false">
      <c r="A824" s="96" t="n">
        <v>104</v>
      </c>
      <c r="B824" s="122" t="s">
        <v>126</v>
      </c>
      <c r="C824" s="98" t="n">
        <v>43186</v>
      </c>
      <c r="D824" s="87" t="n">
        <v>1</v>
      </c>
      <c r="E824" s="99" t="n">
        <v>1</v>
      </c>
      <c r="F824" s="124" t="s">
        <v>178</v>
      </c>
      <c r="G824" s="136" t="s">
        <v>983</v>
      </c>
    </row>
    <row r="825" s="125" customFormat="true" ht="12.75" hidden="false" customHeight="true" outlineLevel="0" collapsed="false">
      <c r="A825" s="96" t="n">
        <v>104</v>
      </c>
      <c r="B825" s="122" t="s">
        <v>126</v>
      </c>
      <c r="C825" s="98" t="n">
        <v>43186</v>
      </c>
      <c r="D825" s="87" t="n">
        <v>1</v>
      </c>
      <c r="E825" s="99" t="n">
        <v>1</v>
      </c>
      <c r="F825" s="124" t="s">
        <v>178</v>
      </c>
      <c r="G825" s="136" t="s">
        <v>984</v>
      </c>
    </row>
    <row r="826" s="125" customFormat="true" ht="12.75" hidden="false" customHeight="true" outlineLevel="0" collapsed="false">
      <c r="A826" s="96" t="n">
        <v>104</v>
      </c>
      <c r="B826" s="122" t="s">
        <v>126</v>
      </c>
      <c r="C826" s="98" t="n">
        <v>43186</v>
      </c>
      <c r="D826" s="87" t="n">
        <v>1</v>
      </c>
      <c r="E826" s="99" t="n">
        <v>1</v>
      </c>
      <c r="F826" s="124" t="s">
        <v>178</v>
      </c>
      <c r="G826" s="136" t="s">
        <v>985</v>
      </c>
    </row>
    <row r="827" s="125" customFormat="true" ht="12.75" hidden="false" customHeight="true" outlineLevel="0" collapsed="false">
      <c r="A827" s="96" t="n">
        <v>104</v>
      </c>
      <c r="B827" s="122" t="s">
        <v>126</v>
      </c>
      <c r="C827" s="98" t="n">
        <v>43186</v>
      </c>
      <c r="D827" s="87" t="n">
        <v>1</v>
      </c>
      <c r="E827" s="99" t="n">
        <v>1</v>
      </c>
      <c r="F827" s="124" t="s">
        <v>178</v>
      </c>
      <c r="G827" s="136" t="s">
        <v>986</v>
      </c>
    </row>
    <row r="828" s="125" customFormat="true" ht="12.75" hidden="false" customHeight="true" outlineLevel="0" collapsed="false">
      <c r="A828" s="96" t="n">
        <v>18</v>
      </c>
      <c r="B828" s="122" t="s">
        <v>40</v>
      </c>
      <c r="C828" s="98" t="n">
        <v>43185</v>
      </c>
      <c r="D828" s="87" t="n">
        <v>1</v>
      </c>
      <c r="E828" s="99" t="n">
        <v>1</v>
      </c>
      <c r="F828" s="124" t="s">
        <v>178</v>
      </c>
      <c r="G828" s="136" t="s">
        <v>987</v>
      </c>
    </row>
    <row r="829" s="125" customFormat="true" ht="12.75" hidden="false" customHeight="true" outlineLevel="0" collapsed="false">
      <c r="A829" s="96" t="n">
        <v>18</v>
      </c>
      <c r="B829" s="122" t="s">
        <v>40</v>
      </c>
      <c r="C829" s="98" t="n">
        <v>43185</v>
      </c>
      <c r="D829" s="87" t="n">
        <v>1</v>
      </c>
      <c r="E829" s="99" t="n">
        <v>1</v>
      </c>
      <c r="F829" s="124" t="s">
        <v>178</v>
      </c>
      <c r="G829" s="136" t="s">
        <v>988</v>
      </c>
    </row>
    <row r="830" s="125" customFormat="true" ht="12.75" hidden="false" customHeight="true" outlineLevel="0" collapsed="false">
      <c r="A830" s="96" t="n">
        <v>18</v>
      </c>
      <c r="B830" s="122" t="s">
        <v>40</v>
      </c>
      <c r="C830" s="98" t="n">
        <v>43185</v>
      </c>
      <c r="D830" s="87" t="n">
        <v>1</v>
      </c>
      <c r="E830" s="99" t="n">
        <v>1</v>
      </c>
      <c r="F830" s="124" t="s">
        <v>178</v>
      </c>
      <c r="G830" s="136" t="s">
        <v>989</v>
      </c>
    </row>
    <row r="831" s="125" customFormat="true" ht="12.75" hidden="false" customHeight="true" outlineLevel="0" collapsed="false">
      <c r="A831" s="96" t="n">
        <v>104</v>
      </c>
      <c r="B831" s="122" t="s">
        <v>126</v>
      </c>
      <c r="C831" s="98" t="n">
        <v>43185</v>
      </c>
      <c r="D831" s="87" t="n">
        <v>1</v>
      </c>
      <c r="E831" s="99" t="n">
        <v>1</v>
      </c>
      <c r="F831" s="124" t="s">
        <v>178</v>
      </c>
      <c r="G831" s="136" t="s">
        <v>990</v>
      </c>
    </row>
    <row r="832" s="125" customFormat="true" ht="12.75" hidden="false" customHeight="true" outlineLevel="0" collapsed="false">
      <c r="A832" s="96" t="n">
        <v>104</v>
      </c>
      <c r="B832" s="122" t="s">
        <v>126</v>
      </c>
      <c r="C832" s="98" t="n">
        <v>43185</v>
      </c>
      <c r="D832" s="87" t="n">
        <v>1</v>
      </c>
      <c r="E832" s="99" t="n">
        <v>1</v>
      </c>
      <c r="F832" s="124" t="s">
        <v>178</v>
      </c>
      <c r="G832" s="136" t="s">
        <v>991</v>
      </c>
    </row>
    <row r="833" s="125" customFormat="true" ht="12.75" hidden="false" customHeight="true" outlineLevel="0" collapsed="false">
      <c r="A833" s="96" t="n">
        <v>104</v>
      </c>
      <c r="B833" s="122" t="s">
        <v>126</v>
      </c>
      <c r="C833" s="98" t="n">
        <v>43183</v>
      </c>
      <c r="D833" s="87" t="n">
        <v>1</v>
      </c>
      <c r="E833" s="99" t="n">
        <v>1</v>
      </c>
      <c r="F833" s="124" t="s">
        <v>178</v>
      </c>
      <c r="G833" s="136" t="s">
        <v>992</v>
      </c>
    </row>
    <row r="834" s="125" customFormat="true" ht="12.75" hidden="false" customHeight="true" outlineLevel="0" collapsed="false">
      <c r="A834" s="96" t="n">
        <v>104</v>
      </c>
      <c r="B834" s="122" t="s">
        <v>126</v>
      </c>
      <c r="C834" s="98" t="n">
        <v>43183</v>
      </c>
      <c r="D834" s="87" t="n">
        <v>1</v>
      </c>
      <c r="E834" s="99" t="n">
        <v>1</v>
      </c>
      <c r="F834" s="124" t="s">
        <v>178</v>
      </c>
      <c r="G834" s="136" t="s">
        <v>993</v>
      </c>
    </row>
    <row r="835" s="125" customFormat="true" ht="12.75" hidden="false" customHeight="true" outlineLevel="0" collapsed="false">
      <c r="A835" s="96" t="n">
        <v>104</v>
      </c>
      <c r="B835" s="122" t="s">
        <v>126</v>
      </c>
      <c r="C835" s="98" t="n">
        <v>43182</v>
      </c>
      <c r="D835" s="87" t="n">
        <v>1</v>
      </c>
      <c r="E835" s="99" t="n">
        <v>1</v>
      </c>
      <c r="F835" s="124" t="s">
        <v>178</v>
      </c>
      <c r="G835" s="136" t="s">
        <v>994</v>
      </c>
    </row>
    <row r="836" s="125" customFormat="true" ht="12.75" hidden="false" customHeight="true" outlineLevel="0" collapsed="false">
      <c r="A836" s="96" t="n">
        <v>104</v>
      </c>
      <c r="B836" s="122" t="s">
        <v>126</v>
      </c>
      <c r="C836" s="98" t="n">
        <v>43182</v>
      </c>
      <c r="D836" s="87" t="n">
        <v>1</v>
      </c>
      <c r="E836" s="99" t="n">
        <v>1</v>
      </c>
      <c r="F836" s="124" t="s">
        <v>178</v>
      </c>
      <c r="G836" s="136" t="s">
        <v>995</v>
      </c>
    </row>
    <row r="837" s="125" customFormat="true" ht="12.75" hidden="false" customHeight="true" outlineLevel="0" collapsed="false">
      <c r="A837" s="96" t="n">
        <v>115</v>
      </c>
      <c r="B837" s="122" t="s">
        <v>867</v>
      </c>
      <c r="C837" s="98" t="n">
        <v>43334</v>
      </c>
      <c r="D837" s="87" t="n">
        <v>1</v>
      </c>
      <c r="E837" s="99" t="n">
        <v>1</v>
      </c>
      <c r="F837" s="124" t="s">
        <v>178</v>
      </c>
      <c r="G837" s="136" t="s">
        <v>996</v>
      </c>
    </row>
    <row r="838" s="125" customFormat="true" ht="12.75" hidden="false" customHeight="true" outlineLevel="0" collapsed="false">
      <c r="A838" s="96" t="n">
        <v>116</v>
      </c>
      <c r="B838" s="122" t="s">
        <v>883</v>
      </c>
      <c r="C838" s="98" t="n">
        <v>43334</v>
      </c>
      <c r="D838" s="87" t="n">
        <v>1</v>
      </c>
      <c r="E838" s="99" t="n">
        <v>1</v>
      </c>
      <c r="F838" s="124" t="s">
        <v>178</v>
      </c>
      <c r="G838" s="136" t="s">
        <v>996</v>
      </c>
    </row>
    <row r="839" s="125" customFormat="true" ht="12.75" hidden="false" customHeight="true" outlineLevel="0" collapsed="false">
      <c r="A839" s="96" t="n">
        <v>9</v>
      </c>
      <c r="B839" s="122" t="s">
        <v>31</v>
      </c>
      <c r="C839" s="98" t="n">
        <v>43181</v>
      </c>
      <c r="D839" s="87" t="n">
        <v>1</v>
      </c>
      <c r="E839" s="99" t="n">
        <v>1</v>
      </c>
      <c r="F839" s="124" t="s">
        <v>178</v>
      </c>
      <c r="G839" s="136" t="s">
        <v>997</v>
      </c>
    </row>
    <row r="840" s="125" customFormat="true" ht="12.75" hidden="false" customHeight="true" outlineLevel="0" collapsed="false">
      <c r="A840" s="96" t="n">
        <v>113</v>
      </c>
      <c r="B840" s="122" t="s">
        <v>135</v>
      </c>
      <c r="C840" s="98" t="n">
        <v>43181</v>
      </c>
      <c r="D840" s="87" t="n">
        <v>1</v>
      </c>
      <c r="E840" s="99" t="n">
        <v>1</v>
      </c>
      <c r="F840" s="124" t="s">
        <v>178</v>
      </c>
      <c r="G840" s="136" t="s">
        <v>996</v>
      </c>
    </row>
    <row r="841" s="125" customFormat="true" ht="12.75" hidden="false" customHeight="true" outlineLevel="0" collapsed="false">
      <c r="A841" s="96" t="n">
        <v>104</v>
      </c>
      <c r="B841" s="122" t="s">
        <v>126</v>
      </c>
      <c r="C841" s="98" t="n">
        <v>43178</v>
      </c>
      <c r="D841" s="87" t="n">
        <v>1</v>
      </c>
      <c r="E841" s="99" t="n">
        <v>1</v>
      </c>
      <c r="F841" s="124" t="s">
        <v>178</v>
      </c>
      <c r="G841" s="136" t="s">
        <v>998</v>
      </c>
    </row>
    <row r="842" s="125" customFormat="true" ht="12.75" hidden="false" customHeight="true" outlineLevel="0" collapsed="false">
      <c r="A842" s="96" t="n">
        <v>116</v>
      </c>
      <c r="B842" s="122" t="s">
        <v>883</v>
      </c>
      <c r="C842" s="98" t="n">
        <v>43150</v>
      </c>
      <c r="D842" s="87" t="n">
        <v>1</v>
      </c>
      <c r="E842" s="99" t="n">
        <v>1</v>
      </c>
      <c r="F842" s="124" t="s">
        <v>178</v>
      </c>
      <c r="G842" s="136" t="s">
        <v>999</v>
      </c>
    </row>
    <row r="843" s="125" customFormat="true" ht="12.75" hidden="false" customHeight="true" outlineLevel="0" collapsed="false">
      <c r="A843" s="96" t="n">
        <v>104</v>
      </c>
      <c r="B843" s="122" t="s">
        <v>126</v>
      </c>
      <c r="C843" s="98" t="n">
        <v>43178</v>
      </c>
      <c r="D843" s="87" t="n">
        <v>1</v>
      </c>
      <c r="E843" s="99" t="n">
        <v>1</v>
      </c>
      <c r="F843" s="124" t="s">
        <v>178</v>
      </c>
      <c r="G843" s="136" t="s">
        <v>1000</v>
      </c>
    </row>
    <row r="844" s="125" customFormat="true" ht="12.75" hidden="false" customHeight="true" outlineLevel="0" collapsed="false">
      <c r="A844" s="96" t="n">
        <v>116</v>
      </c>
      <c r="B844" s="122" t="s">
        <v>883</v>
      </c>
      <c r="C844" s="98" t="n">
        <v>43175</v>
      </c>
      <c r="D844" s="87" t="n">
        <v>1</v>
      </c>
      <c r="E844" s="99" t="n">
        <v>1</v>
      </c>
      <c r="F844" s="124" t="s">
        <v>178</v>
      </c>
      <c r="G844" s="136" t="s">
        <v>1001</v>
      </c>
    </row>
    <row r="845" s="125" customFormat="true" ht="12.75" hidden="false" customHeight="true" outlineLevel="0" collapsed="false">
      <c r="A845" s="96" t="n">
        <v>115</v>
      </c>
      <c r="B845" s="122" t="s">
        <v>867</v>
      </c>
      <c r="C845" s="98" t="n">
        <v>43175</v>
      </c>
      <c r="D845" s="87" t="n">
        <v>1</v>
      </c>
      <c r="E845" s="99" t="n">
        <v>1</v>
      </c>
      <c r="F845" s="124" t="s">
        <v>178</v>
      </c>
      <c r="G845" s="136" t="s">
        <v>1001</v>
      </c>
    </row>
    <row r="846" s="125" customFormat="true" ht="12.75" hidden="false" customHeight="true" outlineLevel="0" collapsed="false">
      <c r="A846" s="96" t="n">
        <v>18</v>
      </c>
      <c r="B846" s="122" t="s">
        <v>40</v>
      </c>
      <c r="C846" s="98" t="n">
        <v>43175</v>
      </c>
      <c r="D846" s="87" t="n">
        <v>1</v>
      </c>
      <c r="E846" s="99" t="n">
        <v>1</v>
      </c>
      <c r="F846" s="124" t="s">
        <v>178</v>
      </c>
      <c r="G846" s="136" t="s">
        <v>1002</v>
      </c>
    </row>
    <row r="847" s="125" customFormat="true" ht="12.75" hidden="false" customHeight="true" outlineLevel="0" collapsed="false">
      <c r="A847" s="96" t="n">
        <v>104</v>
      </c>
      <c r="B847" s="122" t="s">
        <v>126</v>
      </c>
      <c r="C847" s="98" t="n">
        <v>43175</v>
      </c>
      <c r="D847" s="87" t="n">
        <v>3</v>
      </c>
      <c r="E847" s="99" t="n">
        <v>1</v>
      </c>
      <c r="F847" s="124" t="s">
        <v>178</v>
      </c>
      <c r="G847" s="136" t="s">
        <v>1003</v>
      </c>
    </row>
    <row r="848" s="125" customFormat="true" ht="12.75" hidden="false" customHeight="true" outlineLevel="0" collapsed="false">
      <c r="A848" s="96" t="n">
        <v>18</v>
      </c>
      <c r="B848" s="122" t="s">
        <v>40</v>
      </c>
      <c r="C848" s="98" t="n">
        <v>43174</v>
      </c>
      <c r="D848" s="87" t="n">
        <v>1</v>
      </c>
      <c r="E848" s="99" t="n">
        <v>1</v>
      </c>
      <c r="F848" s="124" t="s">
        <v>178</v>
      </c>
      <c r="G848" s="136" t="s">
        <v>1004</v>
      </c>
    </row>
    <row r="849" s="125" customFormat="true" ht="12.75" hidden="false" customHeight="true" outlineLevel="0" collapsed="false">
      <c r="A849" s="96" t="n">
        <v>104</v>
      </c>
      <c r="B849" s="122" t="s">
        <v>126</v>
      </c>
      <c r="C849" s="98" t="n">
        <v>43174</v>
      </c>
      <c r="D849" s="87" t="n">
        <v>1</v>
      </c>
      <c r="E849" s="99" t="n">
        <v>1</v>
      </c>
      <c r="F849" s="124" t="s">
        <v>178</v>
      </c>
      <c r="G849" s="136" t="s">
        <v>1005</v>
      </c>
    </row>
    <row r="850" s="125" customFormat="true" ht="12.75" hidden="false" customHeight="true" outlineLevel="0" collapsed="false">
      <c r="A850" s="96"/>
      <c r="B850" s="122"/>
      <c r="C850" s="98"/>
      <c r="D850" s="87"/>
      <c r="E850" s="99"/>
      <c r="F850" s="124"/>
      <c r="G850" s="136"/>
    </row>
    <row r="851" s="125" customFormat="true" ht="12.75" hidden="false" customHeight="true" outlineLevel="0" collapsed="false">
      <c r="A851" s="96" t="n">
        <v>113</v>
      </c>
      <c r="B851" s="122" t="s">
        <v>135</v>
      </c>
      <c r="C851" s="98" t="n">
        <v>43173</v>
      </c>
      <c r="D851" s="87" t="n">
        <v>1</v>
      </c>
      <c r="E851" s="99" t="n">
        <v>1</v>
      </c>
      <c r="F851" s="124" t="s">
        <v>178</v>
      </c>
      <c r="G851" s="136" t="s">
        <v>1006</v>
      </c>
    </row>
    <row r="852" s="125" customFormat="true" ht="12.75" hidden="false" customHeight="true" outlineLevel="0" collapsed="false">
      <c r="A852" s="96" t="n">
        <v>104</v>
      </c>
      <c r="B852" s="122" t="s">
        <v>126</v>
      </c>
      <c r="C852" s="98" t="n">
        <v>43173</v>
      </c>
      <c r="D852" s="87" t="n">
        <v>1</v>
      </c>
      <c r="E852" s="99" t="n">
        <v>1</v>
      </c>
      <c r="F852" s="124" t="s">
        <v>178</v>
      </c>
      <c r="G852" s="136" t="s">
        <v>1007</v>
      </c>
    </row>
    <row r="853" s="125" customFormat="true" ht="12.75" hidden="false" customHeight="true" outlineLevel="0" collapsed="false">
      <c r="A853" s="96" t="n">
        <v>104</v>
      </c>
      <c r="B853" s="122" t="s">
        <v>126</v>
      </c>
      <c r="C853" s="98" t="n">
        <v>43173</v>
      </c>
      <c r="D853" s="87" t="n">
        <v>1</v>
      </c>
      <c r="E853" s="99" t="n">
        <v>1</v>
      </c>
      <c r="F853" s="124" t="s">
        <v>178</v>
      </c>
      <c r="G853" s="136" t="s">
        <v>1008</v>
      </c>
    </row>
    <row r="854" s="125" customFormat="true" ht="12.75" hidden="false" customHeight="true" outlineLevel="0" collapsed="false">
      <c r="A854" s="96" t="n">
        <v>18</v>
      </c>
      <c r="B854" s="122" t="s">
        <v>40</v>
      </c>
      <c r="C854" s="98" t="n">
        <v>43172</v>
      </c>
      <c r="D854" s="87" t="n">
        <v>1</v>
      </c>
      <c r="E854" s="99" t="n">
        <v>1</v>
      </c>
      <c r="F854" s="124" t="s">
        <v>178</v>
      </c>
      <c r="G854" s="136" t="s">
        <v>1009</v>
      </c>
    </row>
    <row r="855" s="125" customFormat="true" ht="12.75" hidden="false" customHeight="true" outlineLevel="0" collapsed="false">
      <c r="A855" s="96" t="n">
        <v>18</v>
      </c>
      <c r="B855" s="122" t="s">
        <v>40</v>
      </c>
      <c r="C855" s="98" t="n">
        <v>43169</v>
      </c>
      <c r="D855" s="87" t="n">
        <v>1</v>
      </c>
      <c r="E855" s="99" t="n">
        <v>1</v>
      </c>
      <c r="F855" s="124" t="s">
        <v>178</v>
      </c>
      <c r="G855" s="136" t="s">
        <v>1010</v>
      </c>
    </row>
    <row r="856" s="125" customFormat="true" ht="12.75" hidden="false" customHeight="true" outlineLevel="0" collapsed="false">
      <c r="A856" s="96" t="n">
        <v>18</v>
      </c>
      <c r="B856" s="122" t="s">
        <v>40</v>
      </c>
      <c r="C856" s="98" t="n">
        <v>43168</v>
      </c>
      <c r="D856" s="87" t="n">
        <v>1</v>
      </c>
      <c r="E856" s="99" t="n">
        <v>1</v>
      </c>
      <c r="F856" s="124" t="s">
        <v>178</v>
      </c>
      <c r="G856" s="136" t="s">
        <v>1011</v>
      </c>
    </row>
    <row r="857" s="125" customFormat="true" ht="12.75" hidden="false" customHeight="true" outlineLevel="0" collapsed="false">
      <c r="A857" s="96" t="n">
        <v>104</v>
      </c>
      <c r="B857" s="122" t="s">
        <v>126</v>
      </c>
      <c r="C857" s="98" t="n">
        <v>43172</v>
      </c>
      <c r="D857" s="87" t="n">
        <v>1</v>
      </c>
      <c r="E857" s="99" t="n">
        <v>1</v>
      </c>
      <c r="F857" s="124" t="s">
        <v>178</v>
      </c>
      <c r="G857" s="136" t="s">
        <v>1012</v>
      </c>
    </row>
    <row r="858" s="125" customFormat="true" ht="12.75" hidden="false" customHeight="true" outlineLevel="0" collapsed="false">
      <c r="A858" s="96"/>
      <c r="B858" s="122"/>
      <c r="C858" s="98"/>
      <c r="D858" s="87"/>
      <c r="E858" s="99"/>
      <c r="F858" s="124"/>
      <c r="G858" s="136"/>
    </row>
    <row r="859" s="125" customFormat="true" ht="12.75" hidden="false" customHeight="true" outlineLevel="0" collapsed="false">
      <c r="A859" s="96" t="n">
        <v>104</v>
      </c>
      <c r="B859" s="122" t="s">
        <v>126</v>
      </c>
      <c r="C859" s="98" t="n">
        <v>43172</v>
      </c>
      <c r="D859" s="87" t="n">
        <v>1</v>
      </c>
      <c r="E859" s="99" t="n">
        <v>1</v>
      </c>
      <c r="F859" s="124" t="s">
        <v>178</v>
      </c>
      <c r="G859" s="136" t="s">
        <v>1013</v>
      </c>
    </row>
    <row r="860" s="125" customFormat="true" ht="12.75" hidden="false" customHeight="true" outlineLevel="0" collapsed="false">
      <c r="A860" s="96" t="n">
        <v>104</v>
      </c>
      <c r="B860" s="122" t="s">
        <v>126</v>
      </c>
      <c r="C860" s="98" t="n">
        <v>43171</v>
      </c>
      <c r="D860" s="87" t="n">
        <v>1</v>
      </c>
      <c r="E860" s="99" t="n">
        <v>1</v>
      </c>
      <c r="F860" s="124" t="s">
        <v>178</v>
      </c>
      <c r="G860" s="136" t="s">
        <v>1014</v>
      </c>
    </row>
    <row r="861" s="125" customFormat="true" ht="12.75" hidden="false" customHeight="true" outlineLevel="0" collapsed="false">
      <c r="A861" s="96" t="n">
        <v>104</v>
      </c>
      <c r="B861" s="122" t="s">
        <v>126</v>
      </c>
      <c r="C861" s="98" t="n">
        <v>43168</v>
      </c>
      <c r="D861" s="87" t="n">
        <v>1</v>
      </c>
      <c r="E861" s="99" t="n">
        <v>1</v>
      </c>
      <c r="F861" s="124" t="s">
        <v>178</v>
      </c>
      <c r="G861" s="136" t="s">
        <v>1015</v>
      </c>
    </row>
    <row r="862" s="125" customFormat="true" ht="12.75" hidden="false" customHeight="true" outlineLevel="0" collapsed="false">
      <c r="A862" s="96" t="n">
        <v>9</v>
      </c>
      <c r="B862" s="122" t="s">
        <v>31</v>
      </c>
      <c r="C862" s="98" t="n">
        <v>43167</v>
      </c>
      <c r="D862" s="87" t="n">
        <v>1</v>
      </c>
      <c r="E862" s="99" t="n">
        <v>1</v>
      </c>
      <c r="F862" s="124" t="s">
        <v>178</v>
      </c>
      <c r="G862" s="136" t="s">
        <v>1016</v>
      </c>
    </row>
    <row r="863" s="125" customFormat="true" ht="12.75" hidden="false" customHeight="true" outlineLevel="0" collapsed="false">
      <c r="A863" s="96" t="n">
        <v>104</v>
      </c>
      <c r="B863" s="122" t="s">
        <v>126</v>
      </c>
      <c r="C863" s="98" t="n">
        <v>43167</v>
      </c>
      <c r="D863" s="87" t="n">
        <v>1</v>
      </c>
      <c r="E863" s="99" t="n">
        <v>1</v>
      </c>
      <c r="F863" s="124" t="s">
        <v>178</v>
      </c>
      <c r="G863" s="136" t="s">
        <v>1017</v>
      </c>
    </row>
    <row r="864" s="125" customFormat="true" ht="12.75" hidden="false" customHeight="true" outlineLevel="0" collapsed="false">
      <c r="A864" s="96" t="n">
        <v>18</v>
      </c>
      <c r="B864" s="122" t="s">
        <v>40</v>
      </c>
      <c r="C864" s="98" t="n">
        <v>43166</v>
      </c>
      <c r="D864" s="87" t="n">
        <v>2</v>
      </c>
      <c r="E864" s="99" t="n">
        <v>1</v>
      </c>
      <c r="F864" s="124" t="s">
        <v>178</v>
      </c>
      <c r="G864" s="136" t="s">
        <v>1018</v>
      </c>
    </row>
    <row r="865" s="125" customFormat="true" ht="12.75" hidden="false" customHeight="true" outlineLevel="0" collapsed="false">
      <c r="A865" s="96" t="n">
        <v>114</v>
      </c>
      <c r="B865" s="122" t="s">
        <v>923</v>
      </c>
      <c r="C865" s="98" t="n">
        <v>43166</v>
      </c>
      <c r="D865" s="87" t="n">
        <v>1</v>
      </c>
      <c r="E865" s="99" t="n">
        <v>1</v>
      </c>
      <c r="F865" s="124" t="s">
        <v>178</v>
      </c>
      <c r="G865" s="136" t="s">
        <v>1019</v>
      </c>
    </row>
    <row r="866" s="125" customFormat="true" ht="12.75" hidden="false" customHeight="true" outlineLevel="0" collapsed="false">
      <c r="A866" s="96" t="n">
        <v>36</v>
      </c>
      <c r="B866" s="122" t="s">
        <v>58</v>
      </c>
      <c r="C866" s="98" t="n">
        <v>43166</v>
      </c>
      <c r="D866" s="87" t="n">
        <v>2</v>
      </c>
      <c r="E866" s="99" t="n">
        <v>1</v>
      </c>
      <c r="F866" s="124" t="s">
        <v>362</v>
      </c>
      <c r="G866" s="136" t="s">
        <v>1020</v>
      </c>
    </row>
    <row r="867" s="125" customFormat="true" ht="12.75" hidden="false" customHeight="true" outlineLevel="0" collapsed="false">
      <c r="A867" s="96" t="n">
        <v>70</v>
      </c>
      <c r="B867" s="122" t="s">
        <v>92</v>
      </c>
      <c r="C867" s="98" t="n">
        <v>43166</v>
      </c>
      <c r="D867" s="87" t="n">
        <v>5</v>
      </c>
      <c r="E867" s="99" t="n">
        <v>1</v>
      </c>
      <c r="F867" s="124" t="s">
        <v>362</v>
      </c>
      <c r="G867" s="136" t="s">
        <v>1020</v>
      </c>
    </row>
    <row r="868" s="125" customFormat="true" ht="12.75" hidden="false" customHeight="true" outlineLevel="0" collapsed="false">
      <c r="A868" s="96" t="n">
        <v>37</v>
      </c>
      <c r="B868" s="122" t="s">
        <v>59</v>
      </c>
      <c r="C868" s="98" t="n">
        <v>43166</v>
      </c>
      <c r="D868" s="87" t="n">
        <v>5</v>
      </c>
      <c r="E868" s="99" t="n">
        <v>1</v>
      </c>
      <c r="F868" s="124" t="s">
        <v>362</v>
      </c>
      <c r="G868" s="136" t="s">
        <v>1020</v>
      </c>
    </row>
    <row r="869" s="125" customFormat="true" ht="12.75" hidden="false" customHeight="true" outlineLevel="0" collapsed="false">
      <c r="A869" s="96" t="n">
        <v>84</v>
      </c>
      <c r="B869" s="122" t="s">
        <v>106</v>
      </c>
      <c r="C869" s="98" t="n">
        <v>43166</v>
      </c>
      <c r="D869" s="87" t="n">
        <v>4</v>
      </c>
      <c r="E869" s="99" t="n">
        <v>1</v>
      </c>
      <c r="F869" s="124" t="s">
        <v>362</v>
      </c>
      <c r="G869" s="136" t="s">
        <v>1020</v>
      </c>
    </row>
    <row r="870" s="125" customFormat="true" ht="12.75" hidden="false" customHeight="true" outlineLevel="0" collapsed="false">
      <c r="A870" s="96" t="n">
        <v>52</v>
      </c>
      <c r="B870" s="122" t="s">
        <v>74</v>
      </c>
      <c r="C870" s="98" t="n">
        <v>43166</v>
      </c>
      <c r="D870" s="87" t="n">
        <v>2</v>
      </c>
      <c r="E870" s="99" t="n">
        <v>1</v>
      </c>
      <c r="F870" s="124" t="s">
        <v>362</v>
      </c>
      <c r="G870" s="136" t="s">
        <v>1021</v>
      </c>
    </row>
    <row r="871" s="125" customFormat="true" ht="12.75" hidden="false" customHeight="true" outlineLevel="0" collapsed="false">
      <c r="A871" s="96" t="n">
        <v>23</v>
      </c>
      <c r="B871" s="122" t="s">
        <v>45</v>
      </c>
      <c r="C871" s="98" t="n">
        <v>43166</v>
      </c>
      <c r="D871" s="87" t="n">
        <v>14</v>
      </c>
      <c r="E871" s="99" t="n">
        <v>1</v>
      </c>
      <c r="F871" s="124" t="s">
        <v>362</v>
      </c>
      <c r="G871" s="136" t="s">
        <v>1022</v>
      </c>
    </row>
    <row r="872" s="125" customFormat="true" ht="12.75" hidden="false" customHeight="true" outlineLevel="0" collapsed="false">
      <c r="A872" s="96" t="n">
        <v>104</v>
      </c>
      <c r="B872" s="122" t="s">
        <v>126</v>
      </c>
      <c r="C872" s="98" t="n">
        <v>43165</v>
      </c>
      <c r="D872" s="87" t="n">
        <v>2</v>
      </c>
      <c r="E872" s="99" t="n">
        <v>1</v>
      </c>
      <c r="F872" s="124" t="s">
        <v>178</v>
      </c>
      <c r="G872" s="136" t="s">
        <v>1023</v>
      </c>
    </row>
    <row r="873" s="125" customFormat="true" ht="12.75" hidden="false" customHeight="true" outlineLevel="0" collapsed="false">
      <c r="A873" s="96" t="n">
        <v>104</v>
      </c>
      <c r="B873" s="122" t="s">
        <v>126</v>
      </c>
      <c r="C873" s="98" t="n">
        <v>43165</v>
      </c>
      <c r="D873" s="87" t="n">
        <v>1</v>
      </c>
      <c r="E873" s="99" t="n">
        <v>1</v>
      </c>
      <c r="F873" s="124" t="s">
        <v>178</v>
      </c>
      <c r="G873" s="136" t="s">
        <v>1024</v>
      </c>
    </row>
    <row r="874" s="125" customFormat="true" ht="12.75" hidden="false" customHeight="true" outlineLevel="0" collapsed="false">
      <c r="A874" s="96" t="n">
        <v>104</v>
      </c>
      <c r="B874" s="122" t="s">
        <v>126</v>
      </c>
      <c r="C874" s="98" t="n">
        <v>43165</v>
      </c>
      <c r="D874" s="87" t="n">
        <v>1</v>
      </c>
      <c r="E874" s="99" t="n">
        <v>1</v>
      </c>
      <c r="F874" s="124" t="s">
        <v>178</v>
      </c>
      <c r="G874" s="136" t="s">
        <v>1025</v>
      </c>
    </row>
    <row r="875" s="125" customFormat="true" ht="12.75" hidden="false" customHeight="true" outlineLevel="0" collapsed="false">
      <c r="A875" s="96" t="n">
        <v>104</v>
      </c>
      <c r="B875" s="122"/>
      <c r="C875" s="98"/>
      <c r="D875" s="87"/>
      <c r="E875" s="99"/>
      <c r="F875" s="124"/>
      <c r="G875" s="136"/>
    </row>
    <row r="876" s="125" customFormat="true" ht="12.75" hidden="false" customHeight="true" outlineLevel="0" collapsed="false">
      <c r="A876" s="96" t="n">
        <v>104</v>
      </c>
      <c r="B876" s="122" t="s">
        <v>126</v>
      </c>
      <c r="C876" s="98" t="n">
        <v>43160</v>
      </c>
      <c r="D876" s="87" t="n">
        <v>1</v>
      </c>
      <c r="E876" s="99" t="n">
        <v>1</v>
      </c>
      <c r="F876" s="124" t="s">
        <v>178</v>
      </c>
      <c r="G876" s="136" t="s">
        <v>1026</v>
      </c>
    </row>
    <row r="877" s="125" customFormat="true" ht="12.75" hidden="false" customHeight="true" outlineLevel="0" collapsed="false">
      <c r="A877" s="96" t="n">
        <v>104</v>
      </c>
      <c r="B877" s="122" t="s">
        <v>126</v>
      </c>
      <c r="C877" s="98" t="n">
        <v>43160</v>
      </c>
      <c r="D877" s="87" t="n">
        <v>1</v>
      </c>
      <c r="E877" s="99" t="n">
        <v>1</v>
      </c>
      <c r="F877" s="124" t="s">
        <v>178</v>
      </c>
      <c r="G877" s="136" t="s">
        <v>1027</v>
      </c>
    </row>
    <row r="878" s="125" customFormat="true" ht="12.75" hidden="false" customHeight="true" outlineLevel="0" collapsed="false">
      <c r="A878" s="96" t="n">
        <v>104</v>
      </c>
      <c r="B878" s="122" t="s">
        <v>126</v>
      </c>
      <c r="C878" s="98" t="n">
        <v>43159</v>
      </c>
      <c r="D878" s="87" t="n">
        <v>1</v>
      </c>
      <c r="E878" s="99" t="n">
        <v>1</v>
      </c>
      <c r="F878" s="124" t="s">
        <v>178</v>
      </c>
      <c r="G878" s="136" t="s">
        <v>1028</v>
      </c>
    </row>
    <row r="879" s="125" customFormat="true" ht="12.75" hidden="false" customHeight="true" outlineLevel="0" collapsed="false">
      <c r="A879" s="96" t="n">
        <v>104</v>
      </c>
      <c r="B879" s="122" t="s">
        <v>126</v>
      </c>
      <c r="C879" s="98" t="n">
        <v>43158</v>
      </c>
      <c r="D879" s="87" t="n">
        <v>1</v>
      </c>
      <c r="E879" s="99" t="n">
        <v>1</v>
      </c>
      <c r="F879" s="124" t="s">
        <v>178</v>
      </c>
      <c r="G879" s="136" t="s">
        <v>1029</v>
      </c>
    </row>
    <row r="880" s="125" customFormat="true" ht="12.75" hidden="false" customHeight="true" outlineLevel="0" collapsed="false">
      <c r="A880" s="96" t="n">
        <v>104</v>
      </c>
      <c r="B880" s="122" t="s">
        <v>126</v>
      </c>
      <c r="C880" s="98" t="n">
        <v>43158</v>
      </c>
      <c r="D880" s="87" t="n">
        <v>3</v>
      </c>
      <c r="E880" s="99" t="n">
        <v>1</v>
      </c>
      <c r="F880" s="124" t="s">
        <v>178</v>
      </c>
      <c r="G880" s="136" t="s">
        <v>1030</v>
      </c>
    </row>
    <row r="881" s="125" customFormat="true" ht="12.75" hidden="false" customHeight="true" outlineLevel="0" collapsed="false">
      <c r="A881" s="96" t="n">
        <v>104</v>
      </c>
      <c r="B881" s="122" t="s">
        <v>126</v>
      </c>
      <c r="C881" s="98" t="n">
        <v>43157</v>
      </c>
      <c r="D881" s="87" t="n">
        <v>1</v>
      </c>
      <c r="E881" s="99" t="n">
        <v>1</v>
      </c>
      <c r="F881" s="124" t="s">
        <v>178</v>
      </c>
      <c r="G881" s="136" t="s">
        <v>1031</v>
      </c>
    </row>
    <row r="882" s="125" customFormat="true" ht="12.75" hidden="false" customHeight="true" outlineLevel="0" collapsed="false">
      <c r="A882" s="96" t="n">
        <v>104</v>
      </c>
      <c r="B882" s="122" t="s">
        <v>126</v>
      </c>
      <c r="C882" s="98" t="n">
        <v>43157</v>
      </c>
      <c r="D882" s="87" t="n">
        <v>1</v>
      </c>
      <c r="E882" s="99" t="n">
        <v>1</v>
      </c>
      <c r="F882" s="124" t="s">
        <v>178</v>
      </c>
      <c r="G882" s="136" t="s">
        <v>1032</v>
      </c>
    </row>
    <row r="883" s="125" customFormat="true" ht="12.75" hidden="false" customHeight="true" outlineLevel="0" collapsed="false">
      <c r="A883" s="96" t="n">
        <v>104</v>
      </c>
      <c r="B883" s="122" t="s">
        <v>126</v>
      </c>
      <c r="C883" s="98" t="n">
        <v>43155</v>
      </c>
      <c r="D883" s="87" t="n">
        <v>2</v>
      </c>
      <c r="E883" s="99" t="n">
        <v>1</v>
      </c>
      <c r="F883" s="124" t="s">
        <v>178</v>
      </c>
      <c r="G883" s="136" t="s">
        <v>1033</v>
      </c>
    </row>
    <row r="884" s="125" customFormat="true" ht="12.75" hidden="false" customHeight="true" outlineLevel="0" collapsed="false">
      <c r="A884" s="96" t="n">
        <v>116</v>
      </c>
      <c r="B884" s="122" t="s">
        <v>883</v>
      </c>
      <c r="C884" s="98" t="n">
        <v>43154</v>
      </c>
      <c r="D884" s="87" t="n">
        <v>1</v>
      </c>
      <c r="E884" s="99" t="n">
        <v>1</v>
      </c>
      <c r="F884" s="124" t="s">
        <v>178</v>
      </c>
      <c r="G884" s="136" t="s">
        <v>1034</v>
      </c>
    </row>
    <row r="885" s="125" customFormat="true" ht="12.75" hidden="false" customHeight="true" outlineLevel="0" collapsed="false">
      <c r="A885" s="96" t="n">
        <v>104</v>
      </c>
      <c r="B885" s="122" t="s">
        <v>126</v>
      </c>
      <c r="C885" s="98" t="n">
        <v>43396</v>
      </c>
      <c r="D885" s="87" t="n">
        <v>1</v>
      </c>
      <c r="E885" s="99" t="n">
        <v>1</v>
      </c>
      <c r="F885" s="124" t="s">
        <v>178</v>
      </c>
      <c r="G885" s="136" t="s">
        <v>1035</v>
      </c>
    </row>
    <row r="886" s="125" customFormat="true" ht="12.75" hidden="false" customHeight="true" outlineLevel="0" collapsed="false">
      <c r="A886" s="96" t="n">
        <v>104</v>
      </c>
      <c r="B886" s="122" t="s">
        <v>126</v>
      </c>
      <c r="C886" s="98" t="n">
        <v>43154</v>
      </c>
      <c r="D886" s="87" t="n">
        <v>1</v>
      </c>
      <c r="E886" s="99" t="n">
        <v>1</v>
      </c>
      <c r="F886" s="124" t="s">
        <v>178</v>
      </c>
      <c r="G886" s="136" t="s">
        <v>1036</v>
      </c>
    </row>
    <row r="887" s="125" customFormat="true" ht="12.75" hidden="false" customHeight="true" outlineLevel="0" collapsed="false">
      <c r="A887" s="96" t="n">
        <v>104</v>
      </c>
      <c r="B887" s="122" t="s">
        <v>126</v>
      </c>
      <c r="C887" s="98" t="n">
        <v>43153</v>
      </c>
      <c r="D887" s="87" t="n">
        <v>1</v>
      </c>
      <c r="E887" s="99" t="n">
        <v>1</v>
      </c>
      <c r="F887" s="124" t="s">
        <v>178</v>
      </c>
      <c r="G887" s="136" t="s">
        <v>1037</v>
      </c>
    </row>
    <row r="888" s="125" customFormat="true" ht="12.75" hidden="false" customHeight="true" outlineLevel="0" collapsed="false">
      <c r="A888" s="96" t="n">
        <v>104</v>
      </c>
      <c r="B888" s="122" t="s">
        <v>126</v>
      </c>
      <c r="C888" s="98" t="n">
        <v>43152</v>
      </c>
      <c r="D888" s="87" t="n">
        <v>1</v>
      </c>
      <c r="E888" s="99" t="n">
        <v>1</v>
      </c>
      <c r="F888" s="124" t="s">
        <v>178</v>
      </c>
      <c r="G888" s="136" t="s">
        <v>1038</v>
      </c>
    </row>
    <row r="889" s="125" customFormat="true" ht="12.75" hidden="false" customHeight="true" outlineLevel="0" collapsed="false">
      <c r="A889" s="96" t="n">
        <v>104</v>
      </c>
      <c r="B889" s="122" t="s">
        <v>126</v>
      </c>
      <c r="C889" s="98" t="n">
        <v>43152</v>
      </c>
      <c r="D889" s="87" t="n">
        <v>1</v>
      </c>
      <c r="E889" s="99" t="n">
        <v>1</v>
      </c>
      <c r="F889" s="124" t="s">
        <v>178</v>
      </c>
      <c r="G889" s="136" t="s">
        <v>1039</v>
      </c>
    </row>
    <row r="890" s="125" customFormat="true" ht="12.75" hidden="false" customHeight="true" outlineLevel="0" collapsed="false">
      <c r="A890" s="96" t="n">
        <v>104</v>
      </c>
      <c r="B890" s="122" t="s">
        <v>126</v>
      </c>
      <c r="C890" s="98" t="n">
        <v>43150</v>
      </c>
      <c r="D890" s="87" t="n">
        <v>1</v>
      </c>
      <c r="E890" s="99" t="n">
        <v>1</v>
      </c>
      <c r="F890" s="124" t="s">
        <v>178</v>
      </c>
      <c r="G890" s="136" t="s">
        <v>1040</v>
      </c>
    </row>
    <row r="891" s="125" customFormat="true" ht="12.75" hidden="false" customHeight="true" outlineLevel="0" collapsed="false">
      <c r="A891" s="96" t="n">
        <v>104</v>
      </c>
      <c r="B891" s="122" t="s">
        <v>126</v>
      </c>
      <c r="C891" s="98" t="n">
        <v>43150</v>
      </c>
      <c r="D891" s="87" t="n">
        <v>1</v>
      </c>
      <c r="E891" s="99" t="n">
        <v>1</v>
      </c>
      <c r="F891" s="124" t="s">
        <v>178</v>
      </c>
      <c r="G891" s="136" t="s">
        <v>1041</v>
      </c>
    </row>
    <row r="892" s="125" customFormat="true" ht="12.75" hidden="false" customHeight="true" outlineLevel="0" collapsed="false">
      <c r="A892" s="96" t="n">
        <v>104</v>
      </c>
      <c r="B892" s="122" t="s">
        <v>126</v>
      </c>
      <c r="C892" s="98" t="n">
        <v>43150</v>
      </c>
      <c r="D892" s="87" t="n">
        <v>1</v>
      </c>
      <c r="E892" s="99" t="n">
        <v>1</v>
      </c>
      <c r="F892" s="124" t="s">
        <v>178</v>
      </c>
      <c r="G892" s="136" t="s">
        <v>1042</v>
      </c>
    </row>
    <row r="893" s="125" customFormat="true" ht="12.75" hidden="false" customHeight="true" outlineLevel="0" collapsed="false">
      <c r="A893" s="96" t="n">
        <v>9</v>
      </c>
      <c r="B893" s="122" t="s">
        <v>31</v>
      </c>
      <c r="C893" s="98" t="n">
        <v>43146</v>
      </c>
      <c r="D893" s="87" t="n">
        <v>2</v>
      </c>
      <c r="E893" s="99" t="n">
        <v>1</v>
      </c>
      <c r="F893" s="124" t="s">
        <v>178</v>
      </c>
      <c r="G893" s="136" t="s">
        <v>1043</v>
      </c>
    </row>
    <row r="894" s="125" customFormat="true" ht="12.75" hidden="false" customHeight="true" outlineLevel="0" collapsed="false">
      <c r="A894" s="96" t="n">
        <v>104</v>
      </c>
      <c r="B894" s="122" t="s">
        <v>126</v>
      </c>
      <c r="C894" s="98" t="n">
        <v>43148</v>
      </c>
      <c r="D894" s="87" t="n">
        <v>1</v>
      </c>
      <c r="E894" s="99" t="n">
        <v>1</v>
      </c>
      <c r="F894" s="124" t="s">
        <v>178</v>
      </c>
      <c r="G894" s="136" t="s">
        <v>1044</v>
      </c>
    </row>
    <row r="895" s="125" customFormat="true" ht="12.75" hidden="false" customHeight="true" outlineLevel="0" collapsed="false">
      <c r="A895" s="96" t="n">
        <v>114</v>
      </c>
      <c r="B895" s="122" t="s">
        <v>923</v>
      </c>
      <c r="C895" s="98" t="n">
        <v>408389</v>
      </c>
      <c r="D895" s="87" t="n">
        <v>1</v>
      </c>
      <c r="E895" s="99" t="n">
        <v>1</v>
      </c>
      <c r="F895" s="124" t="s">
        <v>178</v>
      </c>
      <c r="G895" s="136" t="s">
        <v>1045</v>
      </c>
    </row>
    <row r="896" s="125" customFormat="true" ht="12.75" hidden="false" customHeight="true" outlineLevel="0" collapsed="false">
      <c r="A896" s="96" t="n">
        <v>104</v>
      </c>
      <c r="B896" s="122" t="s">
        <v>126</v>
      </c>
      <c r="C896" s="98" t="n">
        <v>43146</v>
      </c>
      <c r="D896" s="87" t="n">
        <v>1</v>
      </c>
      <c r="E896" s="99" t="n">
        <v>1</v>
      </c>
      <c r="F896" s="124" t="s">
        <v>178</v>
      </c>
      <c r="G896" s="136" t="s">
        <v>1046</v>
      </c>
    </row>
    <row r="897" s="125" customFormat="true" ht="12.75" hidden="false" customHeight="true" outlineLevel="0" collapsed="false">
      <c r="A897" s="96" t="n">
        <v>104</v>
      </c>
      <c r="B897" s="122" t="s">
        <v>126</v>
      </c>
      <c r="C897" s="98" t="n">
        <v>43145</v>
      </c>
      <c r="D897" s="87" t="n">
        <v>1</v>
      </c>
      <c r="E897" s="99" t="n">
        <v>1</v>
      </c>
      <c r="F897" s="124" t="s">
        <v>178</v>
      </c>
      <c r="G897" s="136" t="s">
        <v>1047</v>
      </c>
    </row>
    <row r="898" s="125" customFormat="true" ht="12.75" hidden="false" customHeight="true" outlineLevel="0" collapsed="false">
      <c r="A898" s="96" t="n">
        <v>104</v>
      </c>
      <c r="B898" s="122" t="s">
        <v>126</v>
      </c>
      <c r="C898" s="98" t="n">
        <v>43140</v>
      </c>
      <c r="D898" s="87" t="n">
        <v>1</v>
      </c>
      <c r="E898" s="99" t="n">
        <v>1</v>
      </c>
      <c r="F898" s="124" t="s">
        <v>178</v>
      </c>
      <c r="G898" s="136" t="s">
        <v>1048</v>
      </c>
    </row>
    <row r="899" s="125" customFormat="true" ht="12.75" hidden="false" customHeight="true" outlineLevel="0" collapsed="false">
      <c r="A899" s="96" t="n">
        <v>104</v>
      </c>
      <c r="B899" s="122" t="s">
        <v>126</v>
      </c>
      <c r="C899" s="98" t="n">
        <v>43140</v>
      </c>
      <c r="D899" s="87" t="n">
        <v>1</v>
      </c>
      <c r="E899" s="99" t="n">
        <v>1</v>
      </c>
      <c r="F899" s="124" t="s">
        <v>178</v>
      </c>
      <c r="G899" s="136" t="s">
        <v>1049</v>
      </c>
    </row>
    <row r="900" s="125" customFormat="true" ht="12.75" hidden="false" customHeight="true" outlineLevel="0" collapsed="false">
      <c r="A900" s="96" t="n">
        <v>104</v>
      </c>
      <c r="B900" s="122" t="s">
        <v>126</v>
      </c>
      <c r="C900" s="98" t="n">
        <v>43140</v>
      </c>
      <c r="D900" s="87" t="n">
        <v>1</v>
      </c>
      <c r="E900" s="99" t="n">
        <v>1</v>
      </c>
      <c r="F900" s="124" t="s">
        <v>178</v>
      </c>
      <c r="G900" s="136" t="s">
        <v>1050</v>
      </c>
    </row>
    <row r="901" s="125" customFormat="true" ht="12.75" hidden="false" customHeight="true" outlineLevel="0" collapsed="false">
      <c r="A901" s="96" t="n">
        <v>104</v>
      </c>
      <c r="B901" s="122" t="s">
        <v>126</v>
      </c>
      <c r="C901" s="98" t="n">
        <v>43139</v>
      </c>
      <c r="D901" s="87" t="n">
        <v>1</v>
      </c>
      <c r="E901" s="99" t="n">
        <v>1</v>
      </c>
      <c r="F901" s="124" t="s">
        <v>178</v>
      </c>
      <c r="G901" s="136" t="s">
        <v>1051</v>
      </c>
    </row>
    <row r="902" s="125" customFormat="true" ht="12.75" hidden="false" customHeight="true" outlineLevel="0" collapsed="false">
      <c r="A902" s="96" t="n">
        <v>116</v>
      </c>
      <c r="B902" s="122" t="s">
        <v>883</v>
      </c>
      <c r="C902" s="98" t="n">
        <v>43138</v>
      </c>
      <c r="D902" s="87" t="n">
        <v>1</v>
      </c>
      <c r="E902" s="99" t="n">
        <v>1</v>
      </c>
      <c r="F902" s="124" t="s">
        <v>178</v>
      </c>
      <c r="G902" s="136" t="s">
        <v>1052</v>
      </c>
    </row>
    <row r="903" s="125" customFormat="true" ht="12.75" hidden="false" customHeight="true" outlineLevel="0" collapsed="false">
      <c r="A903" s="96" t="n">
        <v>104</v>
      </c>
      <c r="B903" s="122" t="s">
        <v>126</v>
      </c>
      <c r="C903" s="98" t="n">
        <v>43380</v>
      </c>
      <c r="D903" s="87" t="n">
        <v>1</v>
      </c>
      <c r="E903" s="99" t="n">
        <v>1</v>
      </c>
      <c r="F903" s="124" t="s">
        <v>178</v>
      </c>
      <c r="G903" s="136" t="s">
        <v>1053</v>
      </c>
    </row>
    <row r="904" s="125" customFormat="true" ht="12.75" hidden="false" customHeight="true" outlineLevel="0" collapsed="false">
      <c r="A904" s="96" t="n">
        <v>104</v>
      </c>
      <c r="B904" s="122" t="s">
        <v>126</v>
      </c>
      <c r="C904" s="98" t="n">
        <v>43138</v>
      </c>
      <c r="D904" s="87" t="n">
        <v>1</v>
      </c>
      <c r="E904" s="99" t="n">
        <v>1</v>
      </c>
      <c r="F904" s="124" t="s">
        <v>178</v>
      </c>
      <c r="G904" s="136" t="s">
        <v>1054</v>
      </c>
    </row>
    <row r="905" s="125" customFormat="true" ht="12.75" hidden="false" customHeight="true" outlineLevel="0" collapsed="false">
      <c r="A905" s="96" t="n">
        <v>104</v>
      </c>
      <c r="B905" s="122" t="s">
        <v>126</v>
      </c>
      <c r="C905" s="98" t="n">
        <v>43137</v>
      </c>
      <c r="D905" s="87" t="n">
        <v>1</v>
      </c>
      <c r="E905" s="99" t="n">
        <v>1</v>
      </c>
      <c r="F905" s="124" t="s">
        <v>178</v>
      </c>
      <c r="G905" s="136" t="s">
        <v>1055</v>
      </c>
    </row>
    <row r="906" s="125" customFormat="true" ht="12.75" hidden="false" customHeight="true" outlineLevel="0" collapsed="false">
      <c r="A906" s="96" t="n">
        <v>18</v>
      </c>
      <c r="B906" s="122" t="s">
        <v>40</v>
      </c>
      <c r="C906" s="98" t="n">
        <v>43137</v>
      </c>
      <c r="D906" s="87" t="n">
        <v>1</v>
      </c>
      <c r="E906" s="99" t="n">
        <v>1</v>
      </c>
      <c r="F906" s="124" t="s">
        <v>178</v>
      </c>
      <c r="G906" s="137" t="s">
        <v>1056</v>
      </c>
    </row>
    <row r="907" s="125" customFormat="true" ht="12.75" hidden="false" customHeight="true" outlineLevel="0" collapsed="false">
      <c r="A907" s="96" t="n">
        <v>104</v>
      </c>
      <c r="B907" s="122" t="s">
        <v>126</v>
      </c>
      <c r="C907" s="98" t="n">
        <v>43137</v>
      </c>
      <c r="D907" s="87" t="n">
        <v>1</v>
      </c>
      <c r="E907" s="99" t="n">
        <v>1</v>
      </c>
      <c r="F907" s="124" t="s">
        <v>178</v>
      </c>
      <c r="G907" s="137" t="s">
        <v>1057</v>
      </c>
    </row>
    <row r="908" s="125" customFormat="true" ht="12.75" hidden="false" customHeight="true" outlineLevel="0" collapsed="false">
      <c r="A908" s="96" t="n">
        <v>104</v>
      </c>
      <c r="B908" s="122" t="s">
        <v>126</v>
      </c>
      <c r="C908" s="98" t="n">
        <v>43135</v>
      </c>
      <c r="D908" s="87" t="n">
        <v>1</v>
      </c>
      <c r="E908" s="99" t="n">
        <v>1</v>
      </c>
      <c r="F908" s="124" t="s">
        <v>14</v>
      </c>
      <c r="G908" s="137" t="s">
        <v>1058</v>
      </c>
    </row>
    <row r="909" s="125" customFormat="true" ht="12.75" hidden="false" customHeight="true" outlineLevel="0" collapsed="false">
      <c r="A909" s="96" t="n">
        <v>104</v>
      </c>
      <c r="B909" s="122" t="s">
        <v>126</v>
      </c>
      <c r="C909" s="98" t="n">
        <v>43133</v>
      </c>
      <c r="D909" s="87" t="n">
        <v>5</v>
      </c>
      <c r="E909" s="99" t="n">
        <v>1</v>
      </c>
      <c r="F909" s="124" t="s">
        <v>14</v>
      </c>
      <c r="G909" s="137" t="s">
        <v>1059</v>
      </c>
    </row>
    <row r="910" s="125" customFormat="true" ht="12.75" hidden="false" customHeight="true" outlineLevel="0" collapsed="false">
      <c r="A910" s="96" t="n">
        <v>18</v>
      </c>
      <c r="B910" s="122" t="s">
        <v>40</v>
      </c>
      <c r="C910" s="98" t="n">
        <v>43132</v>
      </c>
      <c r="D910" s="87" t="n">
        <v>1</v>
      </c>
      <c r="E910" s="99" t="n">
        <v>1</v>
      </c>
      <c r="F910" s="124" t="s">
        <v>178</v>
      </c>
      <c r="G910" s="137" t="s">
        <v>1060</v>
      </c>
    </row>
    <row r="911" s="125" customFormat="true" ht="12.75" hidden="false" customHeight="true" outlineLevel="0" collapsed="false">
      <c r="A911" s="96" t="n">
        <v>104</v>
      </c>
      <c r="B911" s="122" t="s">
        <v>126</v>
      </c>
      <c r="C911" s="98" t="n">
        <v>43131</v>
      </c>
      <c r="D911" s="87" t="n">
        <v>1</v>
      </c>
      <c r="E911" s="99" t="n">
        <v>1</v>
      </c>
      <c r="F911" s="124" t="s">
        <v>178</v>
      </c>
      <c r="G911" s="137" t="s">
        <v>1061</v>
      </c>
    </row>
    <row r="912" s="125" customFormat="true" ht="12.75" hidden="false" customHeight="true" outlineLevel="0" collapsed="false">
      <c r="A912" s="96" t="n">
        <v>104</v>
      </c>
      <c r="B912" s="122" t="s">
        <v>126</v>
      </c>
      <c r="C912" s="98" t="n">
        <v>43131</v>
      </c>
      <c r="D912" s="87" t="n">
        <v>1</v>
      </c>
      <c r="E912" s="99" t="n">
        <v>1</v>
      </c>
      <c r="F912" s="124" t="s">
        <v>178</v>
      </c>
      <c r="G912" s="137" t="s">
        <v>1062</v>
      </c>
    </row>
    <row r="913" s="125" customFormat="true" ht="12.75" hidden="false" customHeight="true" outlineLevel="0" collapsed="false">
      <c r="A913" s="96" t="n">
        <v>104</v>
      </c>
      <c r="B913" s="122" t="s">
        <v>126</v>
      </c>
      <c r="C913" s="98" t="n">
        <v>43131</v>
      </c>
      <c r="D913" s="87" t="n">
        <v>1</v>
      </c>
      <c r="E913" s="99" t="n">
        <v>1</v>
      </c>
      <c r="F913" s="124" t="s">
        <v>178</v>
      </c>
      <c r="G913" s="137" t="s">
        <v>1063</v>
      </c>
    </row>
    <row r="914" s="125" customFormat="true" ht="12.75" hidden="false" customHeight="true" outlineLevel="0" collapsed="false">
      <c r="A914" s="96" t="n">
        <v>104</v>
      </c>
      <c r="B914" s="122" t="s">
        <v>126</v>
      </c>
      <c r="C914" s="98" t="n">
        <v>43130</v>
      </c>
      <c r="D914" s="87" t="n">
        <v>1</v>
      </c>
      <c r="E914" s="99" t="n">
        <v>1</v>
      </c>
      <c r="F914" s="124" t="s">
        <v>178</v>
      </c>
      <c r="G914" s="137" t="s">
        <v>1064</v>
      </c>
    </row>
    <row r="915" s="125" customFormat="true" ht="12.75" hidden="false" customHeight="true" outlineLevel="0" collapsed="false">
      <c r="A915" s="96" t="n">
        <v>18</v>
      </c>
      <c r="B915" s="122" t="s">
        <v>40</v>
      </c>
      <c r="C915" s="98" t="n">
        <v>43130</v>
      </c>
      <c r="D915" s="87" t="n">
        <v>1</v>
      </c>
      <c r="E915" s="99" t="n">
        <v>1</v>
      </c>
      <c r="F915" s="124" t="s">
        <v>178</v>
      </c>
      <c r="G915" s="137" t="s">
        <v>1065</v>
      </c>
    </row>
    <row r="916" s="125" customFormat="true" ht="12.75" hidden="false" customHeight="true" outlineLevel="0" collapsed="false">
      <c r="A916" s="96" t="n">
        <v>104</v>
      </c>
      <c r="B916" s="122" t="s">
        <v>126</v>
      </c>
      <c r="C916" s="98" t="n">
        <v>43129</v>
      </c>
      <c r="D916" s="87" t="n">
        <v>1</v>
      </c>
      <c r="E916" s="99" t="n">
        <v>1</v>
      </c>
      <c r="F916" s="124" t="s">
        <v>178</v>
      </c>
      <c r="G916" s="137" t="s">
        <v>1066</v>
      </c>
    </row>
    <row r="917" s="125" customFormat="true" ht="12.75" hidden="false" customHeight="true" outlineLevel="0" collapsed="false">
      <c r="A917" s="96" t="n">
        <v>104</v>
      </c>
      <c r="B917" s="122" t="s">
        <v>126</v>
      </c>
      <c r="C917" s="98" t="n">
        <v>43127</v>
      </c>
      <c r="D917" s="87" t="n">
        <v>1</v>
      </c>
      <c r="E917" s="99" t="n">
        <v>1</v>
      </c>
      <c r="F917" s="124" t="s">
        <v>178</v>
      </c>
      <c r="G917" s="137" t="s">
        <v>1067</v>
      </c>
    </row>
    <row r="918" s="125" customFormat="true" ht="12.75" hidden="false" customHeight="true" outlineLevel="0" collapsed="false">
      <c r="A918" s="96" t="n">
        <v>104</v>
      </c>
      <c r="B918" s="122" t="s">
        <v>126</v>
      </c>
      <c r="C918" s="98" t="n">
        <v>43127</v>
      </c>
      <c r="D918" s="87" t="n">
        <v>1</v>
      </c>
      <c r="E918" s="99" t="n">
        <v>1</v>
      </c>
      <c r="F918" s="124" t="s">
        <v>178</v>
      </c>
      <c r="G918" s="137" t="s">
        <v>1068</v>
      </c>
    </row>
    <row r="919" s="125" customFormat="true" ht="12.75" hidden="false" customHeight="true" outlineLevel="0" collapsed="false">
      <c r="A919" s="96" t="n">
        <v>104</v>
      </c>
      <c r="B919" s="122" t="s">
        <v>126</v>
      </c>
      <c r="C919" s="98" t="n">
        <v>43126</v>
      </c>
      <c r="D919" s="87" t="n">
        <v>1</v>
      </c>
      <c r="E919" s="99" t="n">
        <v>1</v>
      </c>
      <c r="F919" s="124" t="s">
        <v>178</v>
      </c>
      <c r="G919" s="137" t="s">
        <v>1069</v>
      </c>
    </row>
    <row r="920" s="125" customFormat="true" ht="12.75" hidden="false" customHeight="true" outlineLevel="0" collapsed="false">
      <c r="A920" s="96" t="n">
        <v>104</v>
      </c>
      <c r="B920" s="122" t="s">
        <v>126</v>
      </c>
      <c r="C920" s="98" t="n">
        <v>43125</v>
      </c>
      <c r="D920" s="87" t="n">
        <v>1</v>
      </c>
      <c r="E920" s="99" t="n">
        <v>1</v>
      </c>
      <c r="F920" s="124" t="s">
        <v>178</v>
      </c>
      <c r="G920" s="137" t="s">
        <v>1070</v>
      </c>
    </row>
    <row r="921" s="125" customFormat="true" ht="12.75" hidden="false" customHeight="true" outlineLevel="0" collapsed="false">
      <c r="A921" s="96" t="n">
        <v>104</v>
      </c>
      <c r="B921" s="122" t="s">
        <v>126</v>
      </c>
      <c r="C921" s="98" t="n">
        <v>43125</v>
      </c>
      <c r="D921" s="87" t="n">
        <v>1</v>
      </c>
      <c r="E921" s="99" t="n">
        <v>1</v>
      </c>
      <c r="F921" s="124" t="s">
        <v>178</v>
      </c>
      <c r="G921" s="137" t="s">
        <v>1071</v>
      </c>
    </row>
    <row r="922" s="125" customFormat="true" ht="12.75" hidden="false" customHeight="true" outlineLevel="0" collapsed="false">
      <c r="A922" s="96" t="n">
        <v>104</v>
      </c>
      <c r="B922" s="122" t="s">
        <v>126</v>
      </c>
      <c r="C922" s="98" t="n">
        <v>43124</v>
      </c>
      <c r="D922" s="87" t="n">
        <v>1</v>
      </c>
      <c r="E922" s="99" t="n">
        <v>1</v>
      </c>
      <c r="F922" s="124" t="s">
        <v>178</v>
      </c>
      <c r="G922" s="137" t="s">
        <v>1072</v>
      </c>
    </row>
    <row r="923" s="125" customFormat="true" ht="12.75" hidden="false" customHeight="true" outlineLevel="0" collapsed="false">
      <c r="A923" s="96" t="n">
        <v>104</v>
      </c>
      <c r="B923" s="122" t="s">
        <v>126</v>
      </c>
      <c r="C923" s="98" t="n">
        <v>41663</v>
      </c>
      <c r="D923" s="87" t="n">
        <v>1</v>
      </c>
      <c r="E923" s="99" t="n">
        <v>1</v>
      </c>
      <c r="F923" s="124" t="s">
        <v>178</v>
      </c>
      <c r="G923" s="137" t="s">
        <v>1073</v>
      </c>
    </row>
    <row r="924" s="125" customFormat="true" ht="12.75" hidden="false" customHeight="true" outlineLevel="0" collapsed="false">
      <c r="A924" s="96" t="n">
        <v>104</v>
      </c>
      <c r="B924" s="122" t="s">
        <v>126</v>
      </c>
      <c r="C924" s="98" t="n">
        <v>43124</v>
      </c>
      <c r="D924" s="87" t="n">
        <v>1</v>
      </c>
      <c r="E924" s="99" t="n">
        <v>1</v>
      </c>
      <c r="F924" s="124" t="s">
        <v>178</v>
      </c>
      <c r="G924" s="137" t="s">
        <v>1074</v>
      </c>
    </row>
    <row r="925" s="125" customFormat="true" ht="12.75" hidden="false" customHeight="true" outlineLevel="0" collapsed="false">
      <c r="A925" s="96" t="n">
        <v>104</v>
      </c>
      <c r="B925" s="122" t="s">
        <v>126</v>
      </c>
      <c r="C925" s="98" t="n">
        <v>43122</v>
      </c>
      <c r="D925" s="87" t="n">
        <v>1</v>
      </c>
      <c r="E925" s="99" t="n">
        <v>1</v>
      </c>
      <c r="F925" s="124" t="s">
        <v>178</v>
      </c>
      <c r="G925" s="137" t="s">
        <v>1075</v>
      </c>
    </row>
    <row r="926" s="125" customFormat="true" ht="12.75" hidden="false" customHeight="true" outlineLevel="0" collapsed="false">
      <c r="A926" s="96" t="n">
        <v>104</v>
      </c>
      <c r="B926" s="122" t="s">
        <v>126</v>
      </c>
      <c r="C926" s="98" t="n">
        <v>43120</v>
      </c>
      <c r="D926" s="87" t="n">
        <v>1</v>
      </c>
      <c r="E926" s="99" t="n">
        <v>1</v>
      </c>
      <c r="F926" s="124" t="s">
        <v>178</v>
      </c>
      <c r="G926" s="137" t="s">
        <v>1076</v>
      </c>
    </row>
    <row r="927" s="125" customFormat="true" ht="12.75" hidden="false" customHeight="true" outlineLevel="0" collapsed="false">
      <c r="A927" s="96" t="n">
        <v>104</v>
      </c>
      <c r="B927" s="122" t="s">
        <v>126</v>
      </c>
      <c r="C927" s="98" t="n">
        <v>43122</v>
      </c>
      <c r="D927" s="87" t="n">
        <v>1</v>
      </c>
      <c r="E927" s="99" t="n">
        <v>1</v>
      </c>
      <c r="F927" s="124" t="s">
        <v>178</v>
      </c>
      <c r="G927" s="137" t="s">
        <v>1077</v>
      </c>
    </row>
    <row r="928" s="125" customFormat="true" ht="12.75" hidden="false" customHeight="true" outlineLevel="0" collapsed="false">
      <c r="A928" s="96" t="n">
        <v>18</v>
      </c>
      <c r="B928" s="122" t="s">
        <v>40</v>
      </c>
      <c r="C928" s="98" t="n">
        <v>43117</v>
      </c>
      <c r="D928" s="87" t="n">
        <v>1</v>
      </c>
      <c r="E928" s="99" t="n">
        <v>1</v>
      </c>
      <c r="F928" s="124" t="s">
        <v>178</v>
      </c>
      <c r="G928" s="137" t="s">
        <v>1078</v>
      </c>
    </row>
    <row r="929" s="125" customFormat="true" ht="12.75" hidden="false" customHeight="true" outlineLevel="0" collapsed="false">
      <c r="A929" s="96" t="n">
        <v>104</v>
      </c>
      <c r="B929" s="122" t="s">
        <v>126</v>
      </c>
      <c r="C929" s="98" t="n">
        <v>43119</v>
      </c>
      <c r="D929" s="87" t="n">
        <v>1</v>
      </c>
      <c r="E929" s="99" t="n">
        <v>1</v>
      </c>
      <c r="F929" s="124" t="s">
        <v>178</v>
      </c>
      <c r="G929" s="137" t="s">
        <v>1079</v>
      </c>
    </row>
    <row r="930" s="125" customFormat="true" ht="12.75" hidden="false" customHeight="true" outlineLevel="0" collapsed="false">
      <c r="A930" s="96" t="n">
        <v>104</v>
      </c>
      <c r="B930" s="122" t="s">
        <v>126</v>
      </c>
      <c r="C930" s="98" t="n">
        <v>43118</v>
      </c>
      <c r="D930" s="87" t="n">
        <v>1</v>
      </c>
      <c r="E930" s="99" t="n">
        <v>1</v>
      </c>
      <c r="F930" s="124" t="s">
        <v>178</v>
      </c>
      <c r="G930" s="137" t="s">
        <v>1080</v>
      </c>
    </row>
    <row r="931" s="125" customFormat="true" ht="12.75" hidden="false" customHeight="true" outlineLevel="0" collapsed="false">
      <c r="A931" s="96" t="n">
        <v>104</v>
      </c>
      <c r="B931" s="122" t="s">
        <v>126</v>
      </c>
      <c r="C931" s="98" t="n">
        <v>43118</v>
      </c>
      <c r="D931" s="87" t="n">
        <v>1</v>
      </c>
      <c r="E931" s="99" t="n">
        <v>1</v>
      </c>
      <c r="F931" s="124" t="s">
        <v>178</v>
      </c>
      <c r="G931" s="137" t="s">
        <v>1081</v>
      </c>
    </row>
    <row r="932" s="125" customFormat="true" ht="12.75" hidden="false" customHeight="true" outlineLevel="0" collapsed="false">
      <c r="A932" s="96" t="n">
        <v>104</v>
      </c>
      <c r="B932" s="122" t="s">
        <v>126</v>
      </c>
      <c r="C932" s="98" t="n">
        <v>43118</v>
      </c>
      <c r="D932" s="87" t="n">
        <v>1</v>
      </c>
      <c r="E932" s="99" t="n">
        <v>1</v>
      </c>
      <c r="F932" s="124" t="s">
        <v>178</v>
      </c>
      <c r="G932" s="137" t="s">
        <v>1082</v>
      </c>
    </row>
    <row r="933" s="125" customFormat="true" ht="12.75" hidden="false" customHeight="true" outlineLevel="0" collapsed="false">
      <c r="A933" s="96" t="n">
        <v>104</v>
      </c>
      <c r="B933" s="122" t="s">
        <v>126</v>
      </c>
      <c r="C933" s="98" t="n">
        <v>43118</v>
      </c>
      <c r="D933" s="87" t="n">
        <v>1</v>
      </c>
      <c r="E933" s="99" t="n">
        <v>1</v>
      </c>
      <c r="F933" s="124" t="s">
        <v>178</v>
      </c>
      <c r="G933" s="137" t="s">
        <v>1083</v>
      </c>
    </row>
    <row r="934" s="125" customFormat="true" ht="12.75" hidden="false" customHeight="true" outlineLevel="0" collapsed="false">
      <c r="A934" s="96" t="n">
        <v>116</v>
      </c>
      <c r="B934" s="122" t="s">
        <v>883</v>
      </c>
      <c r="C934" s="98" t="n">
        <v>43118</v>
      </c>
      <c r="D934" s="87" t="n">
        <v>1</v>
      </c>
      <c r="E934" s="99" t="n">
        <v>1</v>
      </c>
      <c r="F934" s="124" t="s">
        <v>178</v>
      </c>
      <c r="G934" s="137" t="s">
        <v>1084</v>
      </c>
    </row>
    <row r="935" s="125" customFormat="true" ht="12.75" hidden="false" customHeight="true" outlineLevel="0" collapsed="false">
      <c r="A935" s="96" t="n">
        <v>116</v>
      </c>
      <c r="B935" s="122" t="s">
        <v>883</v>
      </c>
      <c r="C935" s="98" t="n">
        <v>43117</v>
      </c>
      <c r="D935" s="87" t="n">
        <v>1</v>
      </c>
      <c r="E935" s="99" t="n">
        <v>1</v>
      </c>
      <c r="F935" s="124" t="s">
        <v>178</v>
      </c>
      <c r="G935" s="137" t="s">
        <v>1085</v>
      </c>
    </row>
    <row r="936" s="125" customFormat="true" ht="12.75" hidden="false" customHeight="true" outlineLevel="0" collapsed="false">
      <c r="A936" s="96" t="n">
        <v>104</v>
      </c>
      <c r="B936" s="122" t="s">
        <v>126</v>
      </c>
      <c r="C936" s="98" t="n">
        <v>43116</v>
      </c>
      <c r="D936" s="87" t="n">
        <v>1</v>
      </c>
      <c r="E936" s="99" t="n">
        <v>1</v>
      </c>
      <c r="F936" s="124" t="s">
        <v>178</v>
      </c>
      <c r="G936" s="137" t="s">
        <v>1086</v>
      </c>
    </row>
    <row r="937" s="125" customFormat="true" ht="12.75" hidden="false" customHeight="true" outlineLevel="0" collapsed="false">
      <c r="A937" s="96" t="n">
        <v>104</v>
      </c>
      <c r="B937" s="122" t="s">
        <v>126</v>
      </c>
      <c r="C937" s="98" t="n">
        <v>43112</v>
      </c>
      <c r="D937" s="87" t="n">
        <v>1</v>
      </c>
      <c r="E937" s="99" t="n">
        <v>1</v>
      </c>
      <c r="F937" s="124" t="s">
        <v>178</v>
      </c>
      <c r="G937" s="137" t="s">
        <v>1076</v>
      </c>
    </row>
    <row r="938" s="125" customFormat="true" ht="12.75" hidden="false" customHeight="true" outlineLevel="0" collapsed="false">
      <c r="A938" s="96" t="n">
        <v>104</v>
      </c>
      <c r="B938" s="122" t="s">
        <v>126</v>
      </c>
      <c r="C938" s="98" t="n">
        <v>43112</v>
      </c>
      <c r="D938" s="87"/>
      <c r="E938" s="99" t="n">
        <v>1</v>
      </c>
      <c r="F938" s="124" t="s">
        <v>178</v>
      </c>
      <c r="G938" s="137" t="s">
        <v>1087</v>
      </c>
    </row>
    <row r="939" s="125" customFormat="true" ht="12.75" hidden="false" customHeight="true" outlineLevel="0" collapsed="false">
      <c r="A939" s="96" t="n">
        <v>104</v>
      </c>
      <c r="B939" s="122" t="s">
        <v>126</v>
      </c>
      <c r="C939" s="98" t="n">
        <v>43111</v>
      </c>
      <c r="D939" s="87" t="n">
        <v>1</v>
      </c>
      <c r="E939" s="99" t="n">
        <v>1</v>
      </c>
      <c r="F939" s="124" t="s">
        <v>178</v>
      </c>
      <c r="G939" s="137" t="s">
        <v>1088</v>
      </c>
    </row>
    <row r="940" s="125" customFormat="true" ht="12.75" hidden="false" customHeight="true" outlineLevel="0" collapsed="false">
      <c r="A940" s="96" t="n">
        <v>13</v>
      </c>
      <c r="B940" s="122" t="s">
        <v>35</v>
      </c>
      <c r="C940" s="98" t="n">
        <v>43108</v>
      </c>
      <c r="D940" s="87" t="n">
        <v>3</v>
      </c>
      <c r="E940" s="99" t="n">
        <v>1</v>
      </c>
      <c r="F940" s="124" t="s">
        <v>178</v>
      </c>
      <c r="G940" s="137" t="s">
        <v>1089</v>
      </c>
    </row>
    <row r="941" s="125" customFormat="true" ht="12.75" hidden="false" customHeight="true" outlineLevel="0" collapsed="false">
      <c r="A941" s="96" t="n">
        <v>22</v>
      </c>
      <c r="B941" s="122" t="s">
        <v>44</v>
      </c>
      <c r="C941" s="98" t="n">
        <v>43111</v>
      </c>
      <c r="D941" s="87" t="n">
        <v>1</v>
      </c>
      <c r="E941" s="99" t="n">
        <v>1</v>
      </c>
      <c r="F941" s="124" t="s">
        <v>178</v>
      </c>
      <c r="G941" s="137" t="s">
        <v>1090</v>
      </c>
    </row>
    <row r="942" s="125" customFormat="true" ht="12.75" hidden="false" customHeight="true" outlineLevel="0" collapsed="false">
      <c r="A942" s="96" t="n">
        <v>104</v>
      </c>
      <c r="B942" s="122" t="s">
        <v>126</v>
      </c>
      <c r="C942" s="98" t="n">
        <v>43111</v>
      </c>
      <c r="D942" s="87" t="n">
        <v>2</v>
      </c>
      <c r="E942" s="99" t="n">
        <v>1</v>
      </c>
      <c r="F942" s="124" t="s">
        <v>178</v>
      </c>
      <c r="G942" s="137" t="s">
        <v>1091</v>
      </c>
    </row>
    <row r="943" s="125" customFormat="true" ht="12.75" hidden="false" customHeight="true" outlineLevel="0" collapsed="false">
      <c r="A943" s="96" t="n">
        <v>104</v>
      </c>
      <c r="B943" s="122" t="s">
        <v>126</v>
      </c>
      <c r="C943" s="98" t="n">
        <v>43111</v>
      </c>
      <c r="D943" s="87" t="n">
        <v>1</v>
      </c>
      <c r="E943" s="99" t="n">
        <v>1</v>
      </c>
      <c r="F943" s="124" t="s">
        <v>178</v>
      </c>
      <c r="G943" s="137" t="s">
        <v>1092</v>
      </c>
    </row>
    <row r="944" s="125" customFormat="true" ht="12.75" hidden="false" customHeight="true" outlineLevel="0" collapsed="false">
      <c r="A944" s="96" t="n">
        <v>104</v>
      </c>
      <c r="B944" s="122" t="s">
        <v>126</v>
      </c>
      <c r="C944" s="98" t="n">
        <v>43108</v>
      </c>
      <c r="D944" s="87" t="n">
        <v>1</v>
      </c>
      <c r="E944" s="99" t="n">
        <v>1</v>
      </c>
      <c r="F944" s="124" t="s">
        <v>178</v>
      </c>
      <c r="G944" s="137" t="s">
        <v>1093</v>
      </c>
    </row>
    <row r="945" s="125" customFormat="true" ht="12.75" hidden="false" customHeight="true" outlineLevel="0" collapsed="false">
      <c r="A945" s="96" t="n">
        <v>104</v>
      </c>
      <c r="B945" s="122" t="s">
        <v>126</v>
      </c>
      <c r="C945" s="98" t="n">
        <v>43109</v>
      </c>
      <c r="D945" s="87" t="n">
        <v>2</v>
      </c>
      <c r="E945" s="99" t="n">
        <v>1</v>
      </c>
      <c r="F945" s="124" t="s">
        <v>178</v>
      </c>
      <c r="G945" s="137" t="s">
        <v>1094</v>
      </c>
    </row>
    <row r="946" s="125" customFormat="true" ht="12.75" hidden="false" customHeight="true" outlineLevel="0" collapsed="false">
      <c r="A946" s="96" t="n">
        <v>104</v>
      </c>
      <c r="B946" s="122" t="s">
        <v>126</v>
      </c>
      <c r="C946" s="98" t="n">
        <v>43108</v>
      </c>
      <c r="D946" s="87" t="n">
        <v>1</v>
      </c>
      <c r="E946" s="99" t="n">
        <v>1</v>
      </c>
      <c r="F946" s="124" t="s">
        <v>178</v>
      </c>
      <c r="G946" s="137" t="s">
        <v>1095</v>
      </c>
    </row>
    <row r="947" s="125" customFormat="true" ht="12.75" hidden="false" customHeight="true" outlineLevel="0" collapsed="false">
      <c r="A947" s="96" t="n">
        <v>104</v>
      </c>
      <c r="B947" s="122" t="s">
        <v>126</v>
      </c>
      <c r="C947" s="98" t="n">
        <v>43102</v>
      </c>
      <c r="D947" s="87" t="n">
        <v>1</v>
      </c>
      <c r="E947" s="99" t="n">
        <v>1</v>
      </c>
      <c r="F947" s="124" t="s">
        <v>178</v>
      </c>
      <c r="G947" s="137" t="s">
        <v>1096</v>
      </c>
    </row>
    <row r="948" s="125" customFormat="true" ht="12.75" hidden="false" customHeight="true" outlineLevel="0" collapsed="false">
      <c r="A948" s="96" t="n">
        <v>104</v>
      </c>
      <c r="B948" s="122" t="s">
        <v>126</v>
      </c>
      <c r="C948" s="98" t="n">
        <v>43100</v>
      </c>
      <c r="D948" s="87" t="n">
        <v>1</v>
      </c>
      <c r="E948" s="99" t="n">
        <v>1</v>
      </c>
      <c r="F948" s="124" t="s">
        <v>178</v>
      </c>
      <c r="G948" s="137" t="s">
        <v>1097</v>
      </c>
    </row>
    <row r="949" s="125" customFormat="true" ht="12.75" hidden="false" customHeight="true" outlineLevel="0" collapsed="false">
      <c r="A949" s="96" t="n">
        <v>104</v>
      </c>
      <c r="B949" s="122" t="s">
        <v>126</v>
      </c>
      <c r="C949" s="98" t="n">
        <v>43105</v>
      </c>
      <c r="D949" s="87" t="n">
        <v>1</v>
      </c>
      <c r="E949" s="99" t="n">
        <v>1</v>
      </c>
      <c r="F949" s="124" t="s">
        <v>178</v>
      </c>
      <c r="G949" s="137" t="s">
        <v>1098</v>
      </c>
    </row>
    <row r="950" s="125" customFormat="true" ht="12.75" hidden="false" customHeight="true" outlineLevel="0" collapsed="false">
      <c r="A950" s="96" t="n">
        <v>116</v>
      </c>
      <c r="B950" s="122" t="s">
        <v>883</v>
      </c>
      <c r="C950" s="98" t="n">
        <v>43105</v>
      </c>
      <c r="D950" s="87" t="n">
        <v>1</v>
      </c>
      <c r="E950" s="99" t="n">
        <v>1</v>
      </c>
      <c r="F950" s="124" t="s">
        <v>178</v>
      </c>
      <c r="G950" s="137" t="s">
        <v>1099</v>
      </c>
    </row>
    <row r="951" s="125" customFormat="true" ht="12.75" hidden="false" customHeight="true" outlineLevel="0" collapsed="false">
      <c r="A951" s="96" t="n">
        <v>104</v>
      </c>
      <c r="B951" s="122" t="s">
        <v>126</v>
      </c>
      <c r="C951" s="98" t="n">
        <v>43105</v>
      </c>
      <c r="D951" s="87" t="n">
        <v>1</v>
      </c>
      <c r="E951" s="99" t="n">
        <v>1</v>
      </c>
      <c r="F951" s="124" t="s">
        <v>178</v>
      </c>
      <c r="G951" s="137" t="s">
        <v>1100</v>
      </c>
    </row>
    <row r="952" s="125" customFormat="true" ht="12.75" hidden="false" customHeight="true" outlineLevel="0" collapsed="false">
      <c r="A952" s="96" t="n">
        <v>115</v>
      </c>
      <c r="B952" s="122" t="s">
        <v>867</v>
      </c>
      <c r="C952" s="98" t="n">
        <v>43104</v>
      </c>
      <c r="D952" s="87" t="n">
        <v>1</v>
      </c>
      <c r="E952" s="99" t="n">
        <v>1</v>
      </c>
      <c r="F952" s="124" t="s">
        <v>178</v>
      </c>
      <c r="G952" s="137" t="s">
        <v>1101</v>
      </c>
    </row>
    <row r="953" s="125" customFormat="true" ht="12.75" hidden="false" customHeight="true" outlineLevel="0" collapsed="false">
      <c r="A953" s="96" t="n">
        <v>104</v>
      </c>
      <c r="B953" s="122" t="s">
        <v>126</v>
      </c>
      <c r="C953" s="98" t="n">
        <v>43103</v>
      </c>
      <c r="D953" s="87" t="n">
        <v>1</v>
      </c>
      <c r="E953" s="99" t="n">
        <v>1</v>
      </c>
      <c r="F953" s="124" t="s">
        <v>178</v>
      </c>
      <c r="G953" s="137" t="s">
        <v>1102</v>
      </c>
    </row>
    <row r="954" s="125" customFormat="true" ht="12.75" hidden="false" customHeight="true" outlineLevel="0" collapsed="false">
      <c r="A954" s="96" t="n">
        <v>104</v>
      </c>
      <c r="B954" s="122" t="s">
        <v>126</v>
      </c>
      <c r="C954" s="98" t="n">
        <v>43103</v>
      </c>
      <c r="D954" s="87" t="n">
        <v>1</v>
      </c>
      <c r="E954" s="99" t="n">
        <v>1</v>
      </c>
      <c r="F954" s="124" t="s">
        <v>178</v>
      </c>
      <c r="G954" s="137" t="s">
        <v>1103</v>
      </c>
    </row>
    <row r="955" s="125" customFormat="true" ht="12.75" hidden="false" customHeight="true" outlineLevel="0" collapsed="false">
      <c r="A955" s="96" t="n">
        <v>104</v>
      </c>
      <c r="B955" s="122" t="s">
        <v>126</v>
      </c>
      <c r="C955" s="98" t="n">
        <v>43102</v>
      </c>
      <c r="D955" s="87" t="n">
        <v>1</v>
      </c>
      <c r="E955" s="99" t="n">
        <v>1</v>
      </c>
      <c r="F955" s="124" t="s">
        <v>178</v>
      </c>
      <c r="G955" s="137" t="s">
        <v>1104</v>
      </c>
    </row>
    <row r="956" s="125" customFormat="true" ht="12.75" hidden="false" customHeight="true" outlineLevel="0" collapsed="false">
      <c r="A956" s="96" t="n">
        <v>104</v>
      </c>
      <c r="B956" s="122" t="s">
        <v>126</v>
      </c>
      <c r="C956" s="98" t="n">
        <v>43102</v>
      </c>
      <c r="D956" s="87" t="n">
        <v>1</v>
      </c>
      <c r="E956" s="99" t="n">
        <v>1</v>
      </c>
      <c r="F956" s="124" t="s">
        <v>178</v>
      </c>
      <c r="G956" s="137" t="s">
        <v>1105</v>
      </c>
    </row>
    <row r="957" s="125" customFormat="true" ht="12.75" hidden="false" customHeight="true" outlineLevel="0" collapsed="false">
      <c r="A957" s="96" t="n">
        <v>104</v>
      </c>
      <c r="B957" s="122" t="s">
        <v>126</v>
      </c>
      <c r="C957" s="98" t="n">
        <v>43098</v>
      </c>
      <c r="D957" s="87" t="n">
        <v>1</v>
      </c>
      <c r="E957" s="99" t="n">
        <v>1</v>
      </c>
      <c r="F957" s="124" t="s">
        <v>178</v>
      </c>
      <c r="G957" s="137" t="s">
        <v>1106</v>
      </c>
    </row>
    <row r="958" s="125" customFormat="true" ht="12.75" hidden="false" customHeight="true" outlineLevel="0" collapsed="false">
      <c r="A958" s="96" t="n">
        <v>104</v>
      </c>
      <c r="B958" s="122" t="s">
        <v>126</v>
      </c>
      <c r="C958" s="98" t="n">
        <v>43097</v>
      </c>
      <c r="D958" s="87" t="n">
        <v>1</v>
      </c>
      <c r="E958" s="99" t="n">
        <v>1</v>
      </c>
      <c r="F958" s="124" t="s">
        <v>178</v>
      </c>
      <c r="G958" s="137" t="s">
        <v>1107</v>
      </c>
    </row>
    <row r="959" s="125" customFormat="true" ht="12.75" hidden="false" customHeight="true" outlineLevel="0" collapsed="false">
      <c r="A959" s="96" t="n">
        <v>104</v>
      </c>
      <c r="B959" s="122" t="s">
        <v>126</v>
      </c>
      <c r="C959" s="98" t="n">
        <v>43097</v>
      </c>
      <c r="D959" s="87" t="n">
        <v>1</v>
      </c>
      <c r="E959" s="99" t="n">
        <v>1</v>
      </c>
      <c r="F959" s="124" t="s">
        <v>178</v>
      </c>
      <c r="G959" s="137" t="s">
        <v>1108</v>
      </c>
    </row>
    <row r="960" s="125" customFormat="true" ht="12.75" hidden="false" customHeight="true" outlineLevel="0" collapsed="false">
      <c r="A960" s="96" t="n">
        <v>104</v>
      </c>
      <c r="B960" s="122" t="s">
        <v>126</v>
      </c>
      <c r="C960" s="98" t="n">
        <v>43096</v>
      </c>
      <c r="D960" s="87" t="n">
        <v>1</v>
      </c>
      <c r="E960" s="99" t="n">
        <v>1</v>
      </c>
      <c r="F960" s="124" t="s">
        <v>178</v>
      </c>
      <c r="G960" s="137" t="s">
        <v>1109</v>
      </c>
    </row>
    <row r="961" s="125" customFormat="true" ht="12.75" hidden="false" customHeight="true" outlineLevel="0" collapsed="false">
      <c r="A961" s="96" t="n">
        <v>104</v>
      </c>
      <c r="B961" s="122" t="s">
        <v>126</v>
      </c>
      <c r="C961" s="98" t="n">
        <v>43095</v>
      </c>
      <c r="D961" s="87" t="n">
        <v>1</v>
      </c>
      <c r="E961" s="99" t="n">
        <v>1</v>
      </c>
      <c r="F961" s="124" t="s">
        <v>178</v>
      </c>
      <c r="G961" s="137" t="s">
        <v>1110</v>
      </c>
    </row>
    <row r="962" s="125" customFormat="true" ht="12.75" hidden="false" customHeight="true" outlineLevel="0" collapsed="false">
      <c r="A962" s="96" t="n">
        <v>36</v>
      </c>
      <c r="B962" s="122" t="s">
        <v>58</v>
      </c>
      <c r="C962" s="98" t="n">
        <v>43091</v>
      </c>
      <c r="D962" s="87" t="n">
        <v>20</v>
      </c>
      <c r="E962" s="99" t="n">
        <v>1</v>
      </c>
      <c r="F962" s="124" t="s">
        <v>178</v>
      </c>
      <c r="G962" s="137" t="s">
        <v>1111</v>
      </c>
    </row>
    <row r="963" s="125" customFormat="true" ht="12.75" hidden="false" customHeight="true" outlineLevel="0" collapsed="false">
      <c r="A963" s="96" t="n">
        <v>35</v>
      </c>
      <c r="B963" s="122" t="s">
        <v>57</v>
      </c>
      <c r="C963" s="98" t="n">
        <v>43084</v>
      </c>
      <c r="D963" s="87" t="n">
        <v>1</v>
      </c>
      <c r="E963" s="99" t="n">
        <v>1</v>
      </c>
      <c r="F963" s="124" t="s">
        <v>178</v>
      </c>
      <c r="G963" s="137" t="s">
        <v>1112</v>
      </c>
    </row>
    <row r="964" s="125" customFormat="true" ht="12.75" hidden="false" customHeight="true" outlineLevel="0" collapsed="false">
      <c r="A964" s="96" t="n">
        <v>111</v>
      </c>
      <c r="B964" s="122" t="s">
        <v>133</v>
      </c>
      <c r="C964" s="98" t="n">
        <v>43091</v>
      </c>
      <c r="D964" s="87" t="n">
        <v>5</v>
      </c>
      <c r="E964" s="99" t="n">
        <v>1</v>
      </c>
      <c r="F964" s="124" t="s">
        <v>178</v>
      </c>
      <c r="G964" s="137" t="s">
        <v>1113</v>
      </c>
    </row>
    <row r="965" s="125" customFormat="true" ht="12.75" hidden="false" customHeight="true" outlineLevel="0" collapsed="false">
      <c r="A965" s="96" t="n">
        <v>101</v>
      </c>
      <c r="B965" s="122" t="s">
        <v>123</v>
      </c>
      <c r="C965" s="98" t="n">
        <v>43091</v>
      </c>
      <c r="D965" s="87" t="n">
        <v>3</v>
      </c>
      <c r="E965" s="99" t="n">
        <v>1</v>
      </c>
      <c r="F965" s="124" t="s">
        <v>178</v>
      </c>
      <c r="G965" s="137" t="s">
        <v>1114</v>
      </c>
    </row>
    <row r="966" s="125" customFormat="true" ht="12.75" hidden="false" customHeight="true" outlineLevel="0" collapsed="false">
      <c r="A966" s="96" t="n">
        <v>99</v>
      </c>
      <c r="B966" s="122" t="s">
        <v>121</v>
      </c>
      <c r="C966" s="98" t="n">
        <v>43091</v>
      </c>
      <c r="D966" s="87" t="n">
        <v>58</v>
      </c>
      <c r="E966" s="99" t="n">
        <v>1</v>
      </c>
      <c r="F966" s="124" t="s">
        <v>178</v>
      </c>
      <c r="G966" s="137" t="s">
        <v>1115</v>
      </c>
    </row>
    <row r="967" s="125" customFormat="true" ht="12.75" hidden="false" customHeight="true" outlineLevel="0" collapsed="false">
      <c r="A967" s="96" t="n">
        <v>59</v>
      </c>
      <c r="B967" s="122" t="s">
        <v>81</v>
      </c>
      <c r="C967" s="98" t="n">
        <v>43091</v>
      </c>
      <c r="D967" s="87" t="n">
        <v>2</v>
      </c>
      <c r="E967" s="99" t="n">
        <v>1</v>
      </c>
      <c r="F967" s="124" t="s">
        <v>178</v>
      </c>
      <c r="G967" s="137" t="s">
        <v>1111</v>
      </c>
    </row>
    <row r="968" s="125" customFormat="true" ht="12.75" hidden="false" customHeight="true" outlineLevel="0" collapsed="false">
      <c r="A968" s="96" t="n">
        <v>119</v>
      </c>
      <c r="B968" s="122" t="s">
        <v>141</v>
      </c>
      <c r="C968" s="98" t="n">
        <v>43092</v>
      </c>
      <c r="D968" s="87" t="n">
        <v>6</v>
      </c>
      <c r="E968" s="99" t="n">
        <v>1</v>
      </c>
      <c r="F968" s="124" t="s">
        <v>178</v>
      </c>
      <c r="G968" s="137" t="s">
        <v>1116</v>
      </c>
    </row>
    <row r="969" s="125" customFormat="true" ht="12.75" hidden="false" customHeight="true" outlineLevel="0" collapsed="false">
      <c r="A969" s="96" t="n">
        <v>58</v>
      </c>
      <c r="B969" s="122" t="s">
        <v>80</v>
      </c>
      <c r="C969" s="98" t="n">
        <v>43095</v>
      </c>
      <c r="D969" s="87" t="n">
        <v>15</v>
      </c>
      <c r="E969" s="99" t="n">
        <v>1</v>
      </c>
      <c r="F969" s="124" t="s">
        <v>178</v>
      </c>
      <c r="G969" s="137" t="s">
        <v>1117</v>
      </c>
    </row>
    <row r="970" s="125" customFormat="true" ht="12.75" hidden="false" customHeight="true" outlineLevel="0" collapsed="false">
      <c r="A970" s="96" t="n">
        <v>104</v>
      </c>
      <c r="B970" s="122" t="s">
        <v>126</v>
      </c>
      <c r="C970" s="98" t="n">
        <v>43091</v>
      </c>
      <c r="D970" s="87" t="n">
        <v>1</v>
      </c>
      <c r="E970" s="99" t="n">
        <v>1</v>
      </c>
      <c r="F970" s="124" t="s">
        <v>178</v>
      </c>
      <c r="G970" s="137" t="s">
        <v>1118</v>
      </c>
    </row>
    <row r="971" s="125" customFormat="true" ht="12.75" hidden="false" customHeight="true" outlineLevel="0" collapsed="false">
      <c r="A971" s="96" t="n">
        <v>104</v>
      </c>
      <c r="B971" s="122" t="s">
        <v>126</v>
      </c>
      <c r="C971" s="98" t="n">
        <v>43091</v>
      </c>
      <c r="D971" s="87" t="n">
        <v>1</v>
      </c>
      <c r="E971" s="99" t="n">
        <v>1</v>
      </c>
      <c r="F971" s="124" t="s">
        <v>178</v>
      </c>
      <c r="G971" s="137" t="s">
        <v>1119</v>
      </c>
    </row>
    <row r="972" s="125" customFormat="true" ht="12.75" hidden="false" customHeight="true" outlineLevel="0" collapsed="false">
      <c r="A972" s="96" t="n">
        <v>23</v>
      </c>
      <c r="B972" s="122" t="s">
        <v>45</v>
      </c>
      <c r="C972" s="98" t="n">
        <v>43088</v>
      </c>
      <c r="D972" s="87" t="n">
        <v>3</v>
      </c>
      <c r="E972" s="99" t="n">
        <v>1</v>
      </c>
      <c r="F972" s="124" t="s">
        <v>11</v>
      </c>
      <c r="G972" s="137" t="s">
        <v>1120</v>
      </c>
    </row>
    <row r="973" s="125" customFormat="true" ht="12.75" hidden="false" customHeight="true" outlineLevel="0" collapsed="false">
      <c r="A973" s="96" t="n">
        <v>104</v>
      </c>
      <c r="B973" s="122" t="s">
        <v>126</v>
      </c>
      <c r="C973" s="98" t="n">
        <v>43088</v>
      </c>
      <c r="D973" s="87" t="n">
        <v>1</v>
      </c>
      <c r="E973" s="99" t="n">
        <v>1</v>
      </c>
      <c r="F973" s="124" t="s">
        <v>178</v>
      </c>
      <c r="G973" s="137" t="s">
        <v>1121</v>
      </c>
    </row>
    <row r="974" s="125" customFormat="true" ht="12.75" hidden="false" customHeight="true" outlineLevel="0" collapsed="false">
      <c r="A974" s="96" t="n">
        <v>104</v>
      </c>
      <c r="B974" s="122" t="s">
        <v>126</v>
      </c>
      <c r="C974" s="98" t="n">
        <v>43087</v>
      </c>
      <c r="D974" s="87" t="n">
        <v>1</v>
      </c>
      <c r="E974" s="99" t="n">
        <v>1</v>
      </c>
      <c r="F974" s="124" t="s">
        <v>178</v>
      </c>
      <c r="G974" s="137" t="s">
        <v>1122</v>
      </c>
    </row>
    <row r="975" s="125" customFormat="true" ht="12.75" hidden="false" customHeight="true" outlineLevel="0" collapsed="false">
      <c r="A975" s="96" t="n">
        <v>104</v>
      </c>
      <c r="B975" s="122" t="s">
        <v>126</v>
      </c>
      <c r="C975" s="98" t="n">
        <v>43087</v>
      </c>
      <c r="D975" s="87" t="n">
        <v>1</v>
      </c>
      <c r="E975" s="99" t="n">
        <v>1</v>
      </c>
      <c r="F975" s="124" t="s">
        <v>178</v>
      </c>
      <c r="G975" s="137" t="s">
        <v>1123</v>
      </c>
      <c r="DI975" s="125" t="s">
        <v>1123</v>
      </c>
      <c r="DJ975" s="125" t="s">
        <v>1123</v>
      </c>
      <c r="DK975" s="125" t="s">
        <v>1123</v>
      </c>
      <c r="DL975" s="125" t="s">
        <v>1123</v>
      </c>
      <c r="DM975" s="125" t="s">
        <v>1123</v>
      </c>
      <c r="DN975" s="125" t="s">
        <v>1123</v>
      </c>
      <c r="DO975" s="125" t="s">
        <v>1123</v>
      </c>
      <c r="DP975" s="125" t="s">
        <v>1123</v>
      </c>
      <c r="DQ975" s="125" t="s">
        <v>1123</v>
      </c>
      <c r="DR975" s="125" t="s">
        <v>1123</v>
      </c>
      <c r="DS975" s="125" t="s">
        <v>1123</v>
      </c>
      <c r="DT975" s="125" t="s">
        <v>1123</v>
      </c>
      <c r="DU975" s="125" t="s">
        <v>1123</v>
      </c>
      <c r="DV975" s="125" t="s">
        <v>1123</v>
      </c>
      <c r="DW975" s="125" t="s">
        <v>1123</v>
      </c>
      <c r="DX975" s="125" t="s">
        <v>1123</v>
      </c>
      <c r="DY975" s="125" t="s">
        <v>1123</v>
      </c>
      <c r="DZ975" s="125" t="s">
        <v>1123</v>
      </c>
      <c r="EA975" s="125" t="s">
        <v>1123</v>
      </c>
      <c r="EB975" s="125" t="s">
        <v>1123</v>
      </c>
      <c r="EC975" s="125" t="s">
        <v>1123</v>
      </c>
      <c r="ED975" s="125" t="s">
        <v>1123</v>
      </c>
      <c r="EE975" s="125" t="s">
        <v>1123</v>
      </c>
      <c r="EF975" s="125" t="s">
        <v>1123</v>
      </c>
      <c r="EG975" s="125" t="s">
        <v>1123</v>
      </c>
      <c r="EH975" s="125" t="s">
        <v>1123</v>
      </c>
      <c r="EI975" s="125" t="s">
        <v>1123</v>
      </c>
      <c r="EJ975" s="125" t="s">
        <v>1123</v>
      </c>
      <c r="EK975" s="125" t="s">
        <v>1123</v>
      </c>
      <c r="EL975" s="125" t="s">
        <v>1123</v>
      </c>
      <c r="EM975" s="125" t="s">
        <v>1123</v>
      </c>
      <c r="EN975" s="125" t="s">
        <v>1123</v>
      </c>
      <c r="EO975" s="125" t="s">
        <v>1123</v>
      </c>
      <c r="EP975" s="125" t="s">
        <v>1123</v>
      </c>
      <c r="EQ975" s="125" t="s">
        <v>1123</v>
      </c>
      <c r="ER975" s="125" t="s">
        <v>1123</v>
      </c>
      <c r="ES975" s="125" t="s">
        <v>1123</v>
      </c>
      <c r="ET975" s="125" t="s">
        <v>1123</v>
      </c>
      <c r="EU975" s="125" t="s">
        <v>1123</v>
      </c>
      <c r="EV975" s="125" t="s">
        <v>1123</v>
      </c>
      <c r="EW975" s="125" t="s">
        <v>1123</v>
      </c>
      <c r="EX975" s="125" t="s">
        <v>1123</v>
      </c>
      <c r="EY975" s="125" t="s">
        <v>1123</v>
      </c>
      <c r="EZ975" s="125" t="s">
        <v>1123</v>
      </c>
      <c r="FA975" s="125" t="s">
        <v>1123</v>
      </c>
      <c r="FB975" s="125" t="s">
        <v>1123</v>
      </c>
      <c r="FC975" s="125" t="s">
        <v>1123</v>
      </c>
      <c r="FD975" s="125" t="s">
        <v>1123</v>
      </c>
      <c r="FE975" s="125" t="s">
        <v>1123</v>
      </c>
      <c r="FF975" s="125" t="s">
        <v>1123</v>
      </c>
      <c r="FG975" s="125" t="s">
        <v>1123</v>
      </c>
      <c r="FH975" s="125" t="s">
        <v>1123</v>
      </c>
      <c r="FI975" s="125" t="s">
        <v>1123</v>
      </c>
      <c r="FJ975" s="125" t="s">
        <v>1123</v>
      </c>
      <c r="FK975" s="125" t="s">
        <v>1123</v>
      </c>
      <c r="FL975" s="125" t="s">
        <v>1123</v>
      </c>
      <c r="FM975" s="125" t="s">
        <v>1123</v>
      </c>
      <c r="FN975" s="125" t="s">
        <v>1123</v>
      </c>
      <c r="FO975" s="125" t="s">
        <v>1123</v>
      </c>
      <c r="FP975" s="125" t="s">
        <v>1123</v>
      </c>
      <c r="FQ975" s="125" t="s">
        <v>1123</v>
      </c>
      <c r="FR975" s="125" t="s">
        <v>1123</v>
      </c>
      <c r="FS975" s="125" t="s">
        <v>1123</v>
      </c>
      <c r="FT975" s="125" t="s">
        <v>1123</v>
      </c>
      <c r="FU975" s="125" t="s">
        <v>1123</v>
      </c>
      <c r="FV975" s="125" t="s">
        <v>1123</v>
      </c>
      <c r="FW975" s="125" t="s">
        <v>1123</v>
      </c>
      <c r="FX975" s="125" t="s">
        <v>1123</v>
      </c>
      <c r="FY975" s="125" t="s">
        <v>1123</v>
      </c>
      <c r="FZ975" s="125" t="s">
        <v>1123</v>
      </c>
      <c r="GA975" s="125" t="s">
        <v>1123</v>
      </c>
      <c r="GB975" s="125" t="s">
        <v>1123</v>
      </c>
      <c r="GC975" s="125" t="s">
        <v>1123</v>
      </c>
      <c r="GD975" s="125" t="s">
        <v>1123</v>
      </c>
      <c r="GE975" s="125" t="s">
        <v>1123</v>
      </c>
      <c r="GF975" s="125" t="s">
        <v>1123</v>
      </c>
      <c r="GG975" s="125" t="s">
        <v>1123</v>
      </c>
      <c r="GH975" s="125" t="s">
        <v>1123</v>
      </c>
      <c r="GI975" s="125" t="s">
        <v>1123</v>
      </c>
      <c r="GJ975" s="125" t="s">
        <v>1123</v>
      </c>
      <c r="GK975" s="125" t="s">
        <v>1123</v>
      </c>
      <c r="GL975" s="125" t="s">
        <v>1123</v>
      </c>
      <c r="GM975" s="125" t="s">
        <v>1123</v>
      </c>
      <c r="GN975" s="125" t="s">
        <v>1123</v>
      </c>
      <c r="GO975" s="125" t="s">
        <v>1123</v>
      </c>
      <c r="GP975" s="125" t="s">
        <v>1123</v>
      </c>
      <c r="GQ975" s="125" t="s">
        <v>1123</v>
      </c>
      <c r="GR975" s="125" t="s">
        <v>1123</v>
      </c>
      <c r="GS975" s="125" t="s">
        <v>1123</v>
      </c>
      <c r="GT975" s="125" t="s">
        <v>1123</v>
      </c>
      <c r="GU975" s="125" t="s">
        <v>1123</v>
      </c>
      <c r="GV975" s="125" t="s">
        <v>1123</v>
      </c>
      <c r="GW975" s="125" t="s">
        <v>1123</v>
      </c>
      <c r="GX975" s="125" t="s">
        <v>1123</v>
      </c>
      <c r="GY975" s="125" t="s">
        <v>1123</v>
      </c>
      <c r="GZ975" s="125" t="s">
        <v>1123</v>
      </c>
      <c r="HA975" s="125" t="s">
        <v>1123</v>
      </c>
      <c r="HB975" s="125" t="s">
        <v>1123</v>
      </c>
      <c r="HC975" s="125" t="s">
        <v>1123</v>
      </c>
      <c r="HD975" s="125" t="s">
        <v>1123</v>
      </c>
      <c r="HE975" s="125" t="s">
        <v>1123</v>
      </c>
      <c r="HF975" s="125" t="s">
        <v>1123</v>
      </c>
      <c r="HG975" s="125" t="s">
        <v>1123</v>
      </c>
      <c r="HH975" s="125" t="s">
        <v>1123</v>
      </c>
      <c r="HI975" s="125" t="s">
        <v>1123</v>
      </c>
      <c r="HJ975" s="125" t="s">
        <v>1123</v>
      </c>
      <c r="HK975" s="125" t="s">
        <v>1123</v>
      </c>
      <c r="HL975" s="125" t="s">
        <v>1123</v>
      </c>
      <c r="HM975" s="125" t="s">
        <v>1123</v>
      </c>
      <c r="HN975" s="125" t="s">
        <v>1123</v>
      </c>
      <c r="HO975" s="125" t="s">
        <v>1123</v>
      </c>
      <c r="HP975" s="125" t="s">
        <v>1123</v>
      </c>
      <c r="HQ975" s="125" t="s">
        <v>1123</v>
      </c>
      <c r="HR975" s="125" t="s">
        <v>1123</v>
      </c>
      <c r="HS975" s="125" t="s">
        <v>1123</v>
      </c>
      <c r="HT975" s="125" t="s">
        <v>1123</v>
      </c>
      <c r="HU975" s="125" t="s">
        <v>1123</v>
      </c>
      <c r="HV975" s="125" t="s">
        <v>1123</v>
      </c>
      <c r="HW975" s="125" t="s">
        <v>1123</v>
      </c>
      <c r="HX975" s="125" t="s">
        <v>1123</v>
      </c>
      <c r="HY975" s="125" t="s">
        <v>1123</v>
      </c>
      <c r="HZ975" s="125" t="s">
        <v>1123</v>
      </c>
      <c r="IA975" s="125" t="s">
        <v>1123</v>
      </c>
      <c r="IB975" s="125" t="s">
        <v>1123</v>
      </c>
      <c r="IC975" s="125" t="s">
        <v>1123</v>
      </c>
      <c r="ID975" s="125" t="s">
        <v>1123</v>
      </c>
      <c r="IE975" s="125" t="s">
        <v>1123</v>
      </c>
      <c r="IF975" s="125" t="s">
        <v>1123</v>
      </c>
      <c r="IG975" s="125" t="s">
        <v>1123</v>
      </c>
      <c r="IH975" s="125" t="s">
        <v>1123</v>
      </c>
      <c r="II975" s="125" t="s">
        <v>1123</v>
      </c>
      <c r="IJ975" s="125" t="s">
        <v>1123</v>
      </c>
      <c r="IK975" s="125" t="s">
        <v>1123</v>
      </c>
      <c r="IL975" s="125" t="s">
        <v>1123</v>
      </c>
      <c r="IM975" s="125" t="s">
        <v>1123</v>
      </c>
      <c r="IN975" s="125" t="s">
        <v>1123</v>
      </c>
      <c r="IO975" s="125" t="s">
        <v>1123</v>
      </c>
      <c r="IP975" s="125" t="s">
        <v>1123</v>
      </c>
      <c r="IQ975" s="125" t="s">
        <v>1123</v>
      </c>
      <c r="IR975" s="125" t="s">
        <v>1123</v>
      </c>
      <c r="IS975" s="125" t="s">
        <v>1123</v>
      </c>
      <c r="IT975" s="125" t="s">
        <v>1123</v>
      </c>
      <c r="IU975" s="125" t="s">
        <v>1123</v>
      </c>
      <c r="IV975" s="125" t="s">
        <v>1123</v>
      </c>
      <c r="IW975" s="125" t="s">
        <v>1123</v>
      </c>
      <c r="IX975" s="125" t="s">
        <v>1123</v>
      </c>
      <c r="IY975" s="125" t="s">
        <v>1123</v>
      </c>
      <c r="IZ975" s="125" t="s">
        <v>1123</v>
      </c>
      <c r="JA975" s="125" t="s">
        <v>1123</v>
      </c>
      <c r="JB975" s="125" t="s">
        <v>1123</v>
      </c>
      <c r="JC975" s="125" t="s">
        <v>1123</v>
      </c>
      <c r="JD975" s="125" t="s">
        <v>1123</v>
      </c>
      <c r="JE975" s="125" t="s">
        <v>1123</v>
      </c>
      <c r="JF975" s="125" t="s">
        <v>1123</v>
      </c>
      <c r="JG975" s="125" t="s">
        <v>1123</v>
      </c>
      <c r="JH975" s="125" t="s">
        <v>1123</v>
      </c>
      <c r="JI975" s="125" t="s">
        <v>1123</v>
      </c>
      <c r="JJ975" s="125" t="s">
        <v>1123</v>
      </c>
      <c r="JK975" s="125" t="s">
        <v>1123</v>
      </c>
      <c r="JL975" s="125" t="s">
        <v>1123</v>
      </c>
      <c r="JM975" s="125" t="s">
        <v>1123</v>
      </c>
      <c r="JN975" s="125" t="s">
        <v>1123</v>
      </c>
      <c r="JO975" s="125" t="s">
        <v>1123</v>
      </c>
      <c r="JP975" s="125" t="s">
        <v>1123</v>
      </c>
      <c r="JQ975" s="125" t="s">
        <v>1123</v>
      </c>
      <c r="JR975" s="125" t="s">
        <v>1123</v>
      </c>
      <c r="JS975" s="125" t="s">
        <v>1123</v>
      </c>
      <c r="JT975" s="125" t="s">
        <v>1123</v>
      </c>
      <c r="JU975" s="125" t="s">
        <v>1123</v>
      </c>
      <c r="JV975" s="125" t="s">
        <v>1123</v>
      </c>
      <c r="JW975" s="125" t="s">
        <v>1123</v>
      </c>
      <c r="JX975" s="125" t="s">
        <v>1123</v>
      </c>
      <c r="JY975" s="125" t="s">
        <v>1123</v>
      </c>
      <c r="JZ975" s="125" t="s">
        <v>1123</v>
      </c>
      <c r="KA975" s="125" t="s">
        <v>1123</v>
      </c>
      <c r="KB975" s="125" t="s">
        <v>1123</v>
      </c>
      <c r="KC975" s="125" t="s">
        <v>1123</v>
      </c>
      <c r="KD975" s="125" t="s">
        <v>1123</v>
      </c>
      <c r="KE975" s="125" t="s">
        <v>1123</v>
      </c>
      <c r="KF975" s="125" t="s">
        <v>1123</v>
      </c>
      <c r="KG975" s="125" t="s">
        <v>1123</v>
      </c>
      <c r="KH975" s="125" t="s">
        <v>1123</v>
      </c>
      <c r="KI975" s="125" t="s">
        <v>1123</v>
      </c>
      <c r="KJ975" s="125" t="s">
        <v>1123</v>
      </c>
      <c r="KK975" s="125" t="s">
        <v>1123</v>
      </c>
      <c r="KL975" s="125" t="s">
        <v>1123</v>
      </c>
      <c r="KM975" s="125" t="s">
        <v>1123</v>
      </c>
      <c r="KN975" s="125" t="s">
        <v>1123</v>
      </c>
      <c r="KO975" s="125" t="s">
        <v>1123</v>
      </c>
      <c r="KP975" s="125" t="s">
        <v>1123</v>
      </c>
      <c r="KQ975" s="125" t="s">
        <v>1123</v>
      </c>
      <c r="KR975" s="125" t="s">
        <v>1123</v>
      </c>
      <c r="KS975" s="125" t="s">
        <v>1123</v>
      </c>
      <c r="KT975" s="125" t="s">
        <v>1123</v>
      </c>
      <c r="KU975" s="125" t="s">
        <v>1123</v>
      </c>
      <c r="KV975" s="125" t="s">
        <v>1123</v>
      </c>
      <c r="KW975" s="125" t="s">
        <v>1123</v>
      </c>
      <c r="KX975" s="125" t="s">
        <v>1123</v>
      </c>
      <c r="KY975" s="125" t="s">
        <v>1123</v>
      </c>
      <c r="KZ975" s="125" t="s">
        <v>1123</v>
      </c>
      <c r="LA975" s="125" t="s">
        <v>1123</v>
      </c>
      <c r="LB975" s="125" t="s">
        <v>1123</v>
      </c>
      <c r="LC975" s="125" t="s">
        <v>1123</v>
      </c>
      <c r="LD975" s="125" t="s">
        <v>1123</v>
      </c>
      <c r="LE975" s="125" t="s">
        <v>1123</v>
      </c>
      <c r="LF975" s="125" t="s">
        <v>1123</v>
      </c>
      <c r="LG975" s="125" t="s">
        <v>1123</v>
      </c>
      <c r="LH975" s="125" t="s">
        <v>1123</v>
      </c>
      <c r="LI975" s="125" t="s">
        <v>1123</v>
      </c>
      <c r="LJ975" s="125" t="s">
        <v>1123</v>
      </c>
      <c r="LK975" s="125" t="s">
        <v>1123</v>
      </c>
      <c r="LL975" s="125" t="s">
        <v>1123</v>
      </c>
      <c r="LM975" s="125" t="s">
        <v>1123</v>
      </c>
      <c r="LN975" s="125" t="s">
        <v>1123</v>
      </c>
      <c r="LO975" s="125" t="s">
        <v>1123</v>
      </c>
      <c r="LP975" s="125" t="s">
        <v>1123</v>
      </c>
      <c r="LQ975" s="125" t="s">
        <v>1123</v>
      </c>
      <c r="LR975" s="125" t="s">
        <v>1123</v>
      </c>
      <c r="LS975" s="125" t="s">
        <v>1123</v>
      </c>
      <c r="LT975" s="125" t="s">
        <v>1123</v>
      </c>
      <c r="LU975" s="125" t="s">
        <v>1123</v>
      </c>
      <c r="LV975" s="125" t="s">
        <v>1123</v>
      </c>
      <c r="LW975" s="125" t="s">
        <v>1123</v>
      </c>
      <c r="LX975" s="125" t="s">
        <v>1123</v>
      </c>
      <c r="LY975" s="125" t="s">
        <v>1123</v>
      </c>
      <c r="LZ975" s="125" t="s">
        <v>1123</v>
      </c>
      <c r="MA975" s="125" t="s">
        <v>1123</v>
      </c>
      <c r="MB975" s="125" t="s">
        <v>1123</v>
      </c>
      <c r="MC975" s="125" t="s">
        <v>1123</v>
      </c>
      <c r="MD975" s="125" t="s">
        <v>1123</v>
      </c>
      <c r="ME975" s="125" t="s">
        <v>1123</v>
      </c>
      <c r="MF975" s="125" t="s">
        <v>1123</v>
      </c>
      <c r="MG975" s="125" t="s">
        <v>1123</v>
      </c>
      <c r="MH975" s="125" t="s">
        <v>1123</v>
      </c>
      <c r="MI975" s="125" t="s">
        <v>1123</v>
      </c>
      <c r="MJ975" s="125" t="s">
        <v>1123</v>
      </c>
      <c r="MK975" s="125" t="s">
        <v>1123</v>
      </c>
      <c r="ML975" s="125" t="s">
        <v>1123</v>
      </c>
      <c r="MM975" s="125" t="s">
        <v>1123</v>
      </c>
      <c r="MN975" s="125" t="s">
        <v>1123</v>
      </c>
      <c r="MO975" s="125" t="s">
        <v>1123</v>
      </c>
      <c r="MP975" s="125" t="s">
        <v>1123</v>
      </c>
      <c r="MQ975" s="125" t="s">
        <v>1123</v>
      </c>
      <c r="MR975" s="125" t="s">
        <v>1123</v>
      </c>
      <c r="MS975" s="125" t="s">
        <v>1123</v>
      </c>
      <c r="MT975" s="125" t="s">
        <v>1123</v>
      </c>
      <c r="MU975" s="125" t="s">
        <v>1123</v>
      </c>
      <c r="MV975" s="125" t="s">
        <v>1123</v>
      </c>
      <c r="MW975" s="125" t="s">
        <v>1123</v>
      </c>
      <c r="MX975" s="125" t="s">
        <v>1123</v>
      </c>
      <c r="MY975" s="125" t="s">
        <v>1123</v>
      </c>
      <c r="MZ975" s="125" t="s">
        <v>1123</v>
      </c>
      <c r="NA975" s="125" t="s">
        <v>1123</v>
      </c>
      <c r="NB975" s="125" t="s">
        <v>1123</v>
      </c>
      <c r="NC975" s="125" t="s">
        <v>1123</v>
      </c>
      <c r="ND975" s="125" t="s">
        <v>1123</v>
      </c>
      <c r="NE975" s="125" t="s">
        <v>1123</v>
      </c>
      <c r="NF975" s="125" t="s">
        <v>1123</v>
      </c>
      <c r="NG975" s="125" t="s">
        <v>1123</v>
      </c>
      <c r="NH975" s="125" t="s">
        <v>1123</v>
      </c>
      <c r="NI975" s="125" t="s">
        <v>1123</v>
      </c>
      <c r="NJ975" s="125" t="s">
        <v>1123</v>
      </c>
      <c r="NK975" s="125" t="s">
        <v>1123</v>
      </c>
      <c r="NL975" s="125" t="s">
        <v>1123</v>
      </c>
      <c r="NM975" s="125" t="s">
        <v>1123</v>
      </c>
      <c r="NN975" s="125" t="s">
        <v>1123</v>
      </c>
      <c r="NO975" s="125" t="s">
        <v>1123</v>
      </c>
      <c r="NP975" s="125" t="s">
        <v>1123</v>
      </c>
      <c r="NQ975" s="125" t="s">
        <v>1123</v>
      </c>
      <c r="NR975" s="125" t="s">
        <v>1123</v>
      </c>
      <c r="NS975" s="125" t="s">
        <v>1123</v>
      </c>
      <c r="NT975" s="125" t="s">
        <v>1123</v>
      </c>
      <c r="NU975" s="125" t="s">
        <v>1123</v>
      </c>
      <c r="NV975" s="125" t="s">
        <v>1123</v>
      </c>
      <c r="NW975" s="125" t="s">
        <v>1123</v>
      </c>
      <c r="NX975" s="125" t="s">
        <v>1123</v>
      </c>
      <c r="NY975" s="125" t="s">
        <v>1123</v>
      </c>
      <c r="NZ975" s="125" t="s">
        <v>1123</v>
      </c>
      <c r="OA975" s="125" t="s">
        <v>1123</v>
      </c>
      <c r="OB975" s="125" t="s">
        <v>1123</v>
      </c>
      <c r="OC975" s="125" t="s">
        <v>1123</v>
      </c>
      <c r="OD975" s="125" t="s">
        <v>1123</v>
      </c>
      <c r="OE975" s="125" t="s">
        <v>1123</v>
      </c>
      <c r="OF975" s="125" t="s">
        <v>1123</v>
      </c>
      <c r="OG975" s="125" t="s">
        <v>1123</v>
      </c>
      <c r="OH975" s="125" t="s">
        <v>1123</v>
      </c>
      <c r="OI975" s="125" t="s">
        <v>1123</v>
      </c>
      <c r="OJ975" s="125" t="s">
        <v>1123</v>
      </c>
      <c r="OK975" s="125" t="s">
        <v>1123</v>
      </c>
      <c r="OL975" s="125" t="s">
        <v>1123</v>
      </c>
      <c r="OM975" s="125" t="s">
        <v>1123</v>
      </c>
      <c r="ON975" s="125" t="s">
        <v>1123</v>
      </c>
      <c r="OO975" s="125" t="s">
        <v>1123</v>
      </c>
      <c r="OP975" s="125" t="s">
        <v>1123</v>
      </c>
      <c r="OQ975" s="125" t="s">
        <v>1123</v>
      </c>
      <c r="OR975" s="125" t="s">
        <v>1123</v>
      </c>
      <c r="OS975" s="125" t="s">
        <v>1123</v>
      </c>
      <c r="OT975" s="125" t="s">
        <v>1123</v>
      </c>
      <c r="OU975" s="125" t="s">
        <v>1123</v>
      </c>
      <c r="OV975" s="125" t="s">
        <v>1123</v>
      </c>
      <c r="OW975" s="125" t="s">
        <v>1123</v>
      </c>
      <c r="OX975" s="125" t="s">
        <v>1123</v>
      </c>
      <c r="OY975" s="125" t="s">
        <v>1123</v>
      </c>
      <c r="OZ975" s="125" t="s">
        <v>1123</v>
      </c>
      <c r="PA975" s="125" t="s">
        <v>1123</v>
      </c>
      <c r="PB975" s="125" t="s">
        <v>1123</v>
      </c>
      <c r="PC975" s="125" t="s">
        <v>1123</v>
      </c>
      <c r="PD975" s="125" t="s">
        <v>1123</v>
      </c>
      <c r="PE975" s="125" t="s">
        <v>1123</v>
      </c>
      <c r="PF975" s="125" t="s">
        <v>1123</v>
      </c>
      <c r="PG975" s="125" t="s">
        <v>1123</v>
      </c>
      <c r="PH975" s="125" t="s">
        <v>1123</v>
      </c>
      <c r="PI975" s="125" t="s">
        <v>1123</v>
      </c>
      <c r="PJ975" s="125" t="s">
        <v>1123</v>
      </c>
      <c r="PK975" s="125" t="s">
        <v>1123</v>
      </c>
      <c r="PL975" s="125" t="s">
        <v>1123</v>
      </c>
      <c r="PM975" s="125" t="s">
        <v>1123</v>
      </c>
      <c r="PN975" s="125" t="s">
        <v>1123</v>
      </c>
      <c r="PO975" s="125" t="s">
        <v>1123</v>
      </c>
      <c r="PP975" s="125" t="s">
        <v>1123</v>
      </c>
      <c r="PQ975" s="125" t="s">
        <v>1123</v>
      </c>
      <c r="PR975" s="125" t="s">
        <v>1123</v>
      </c>
      <c r="PS975" s="125" t="s">
        <v>1123</v>
      </c>
      <c r="PT975" s="125" t="s">
        <v>1123</v>
      </c>
      <c r="PU975" s="125" t="s">
        <v>1123</v>
      </c>
      <c r="PV975" s="125" t="s">
        <v>1123</v>
      </c>
      <c r="PW975" s="125" t="s">
        <v>1123</v>
      </c>
      <c r="PX975" s="125" t="s">
        <v>1123</v>
      </c>
      <c r="PY975" s="125" t="s">
        <v>1123</v>
      </c>
      <c r="PZ975" s="125" t="s">
        <v>1123</v>
      </c>
      <c r="QA975" s="125" t="s">
        <v>1123</v>
      </c>
      <c r="QB975" s="125" t="s">
        <v>1123</v>
      </c>
      <c r="QC975" s="125" t="s">
        <v>1123</v>
      </c>
      <c r="QD975" s="125" t="s">
        <v>1123</v>
      </c>
      <c r="QE975" s="125" t="s">
        <v>1123</v>
      </c>
      <c r="QF975" s="125" t="s">
        <v>1123</v>
      </c>
      <c r="QG975" s="125" t="s">
        <v>1123</v>
      </c>
      <c r="QH975" s="125" t="s">
        <v>1123</v>
      </c>
      <c r="QI975" s="125" t="s">
        <v>1123</v>
      </c>
      <c r="QJ975" s="125" t="s">
        <v>1123</v>
      </c>
      <c r="QK975" s="125" t="s">
        <v>1123</v>
      </c>
      <c r="QL975" s="125" t="s">
        <v>1123</v>
      </c>
      <c r="QM975" s="125" t="s">
        <v>1123</v>
      </c>
      <c r="QN975" s="125" t="s">
        <v>1123</v>
      </c>
      <c r="QO975" s="125" t="s">
        <v>1123</v>
      </c>
      <c r="QP975" s="125" t="s">
        <v>1123</v>
      </c>
      <c r="QQ975" s="125" t="s">
        <v>1123</v>
      </c>
      <c r="QR975" s="125" t="s">
        <v>1123</v>
      </c>
      <c r="QS975" s="125" t="s">
        <v>1123</v>
      </c>
      <c r="QT975" s="125" t="s">
        <v>1123</v>
      </c>
      <c r="QU975" s="125" t="s">
        <v>1123</v>
      </c>
      <c r="QV975" s="125" t="s">
        <v>1123</v>
      </c>
      <c r="QW975" s="125" t="s">
        <v>1123</v>
      </c>
      <c r="QX975" s="125" t="s">
        <v>1123</v>
      </c>
      <c r="QY975" s="125" t="s">
        <v>1123</v>
      </c>
      <c r="QZ975" s="125" t="s">
        <v>1123</v>
      </c>
      <c r="RA975" s="125" t="s">
        <v>1123</v>
      </c>
      <c r="RB975" s="125" t="s">
        <v>1123</v>
      </c>
      <c r="RC975" s="125" t="s">
        <v>1123</v>
      </c>
      <c r="RD975" s="125" t="s">
        <v>1123</v>
      </c>
      <c r="RE975" s="125" t="s">
        <v>1123</v>
      </c>
      <c r="RF975" s="125" t="s">
        <v>1123</v>
      </c>
      <c r="RG975" s="125" t="s">
        <v>1123</v>
      </c>
      <c r="RH975" s="125" t="s">
        <v>1123</v>
      </c>
      <c r="RI975" s="125" t="s">
        <v>1123</v>
      </c>
      <c r="RJ975" s="125" t="s">
        <v>1123</v>
      </c>
      <c r="RK975" s="125" t="s">
        <v>1123</v>
      </c>
      <c r="RL975" s="125" t="s">
        <v>1123</v>
      </c>
      <c r="RM975" s="125" t="s">
        <v>1123</v>
      </c>
      <c r="RN975" s="125" t="s">
        <v>1123</v>
      </c>
      <c r="RO975" s="125" t="s">
        <v>1123</v>
      </c>
      <c r="RP975" s="125" t="s">
        <v>1123</v>
      </c>
      <c r="RQ975" s="125" t="s">
        <v>1123</v>
      </c>
      <c r="RR975" s="125" t="s">
        <v>1123</v>
      </c>
      <c r="RS975" s="125" t="s">
        <v>1123</v>
      </c>
      <c r="RT975" s="125" t="s">
        <v>1123</v>
      </c>
      <c r="RU975" s="125" t="s">
        <v>1123</v>
      </c>
      <c r="RV975" s="125" t="s">
        <v>1123</v>
      </c>
      <c r="RW975" s="125" t="s">
        <v>1123</v>
      </c>
      <c r="RX975" s="125" t="s">
        <v>1123</v>
      </c>
      <c r="RY975" s="125" t="s">
        <v>1123</v>
      </c>
      <c r="RZ975" s="125" t="s">
        <v>1123</v>
      </c>
      <c r="SA975" s="125" t="s">
        <v>1123</v>
      </c>
      <c r="SB975" s="125" t="s">
        <v>1123</v>
      </c>
      <c r="SC975" s="125" t="s">
        <v>1123</v>
      </c>
      <c r="SD975" s="125" t="s">
        <v>1123</v>
      </c>
      <c r="SE975" s="125" t="s">
        <v>1123</v>
      </c>
      <c r="SF975" s="125" t="s">
        <v>1123</v>
      </c>
      <c r="SG975" s="125" t="s">
        <v>1123</v>
      </c>
      <c r="SH975" s="125" t="s">
        <v>1123</v>
      </c>
      <c r="SI975" s="125" t="s">
        <v>1123</v>
      </c>
      <c r="SJ975" s="125" t="s">
        <v>1123</v>
      </c>
      <c r="SK975" s="125" t="s">
        <v>1123</v>
      </c>
      <c r="SL975" s="125" t="s">
        <v>1123</v>
      </c>
      <c r="SM975" s="125" t="s">
        <v>1123</v>
      </c>
      <c r="SN975" s="125" t="s">
        <v>1123</v>
      </c>
      <c r="SO975" s="125" t="s">
        <v>1123</v>
      </c>
      <c r="SP975" s="125" t="s">
        <v>1123</v>
      </c>
      <c r="SQ975" s="125" t="s">
        <v>1123</v>
      </c>
      <c r="SR975" s="125" t="s">
        <v>1123</v>
      </c>
      <c r="SS975" s="125" t="s">
        <v>1123</v>
      </c>
      <c r="ST975" s="125" t="s">
        <v>1123</v>
      </c>
      <c r="SU975" s="125" t="s">
        <v>1123</v>
      </c>
      <c r="SV975" s="125" t="s">
        <v>1123</v>
      </c>
      <c r="SW975" s="125" t="s">
        <v>1123</v>
      </c>
      <c r="SX975" s="125" t="s">
        <v>1123</v>
      </c>
      <c r="SY975" s="125" t="s">
        <v>1123</v>
      </c>
      <c r="SZ975" s="125" t="s">
        <v>1123</v>
      </c>
      <c r="TA975" s="125" t="s">
        <v>1123</v>
      </c>
      <c r="TB975" s="125" t="s">
        <v>1123</v>
      </c>
      <c r="TC975" s="125" t="s">
        <v>1123</v>
      </c>
      <c r="TD975" s="125" t="s">
        <v>1123</v>
      </c>
      <c r="TE975" s="125" t="s">
        <v>1123</v>
      </c>
      <c r="TF975" s="125" t="s">
        <v>1123</v>
      </c>
      <c r="TG975" s="125" t="s">
        <v>1123</v>
      </c>
      <c r="TH975" s="125" t="s">
        <v>1123</v>
      </c>
      <c r="TI975" s="125" t="s">
        <v>1123</v>
      </c>
      <c r="TJ975" s="125" t="s">
        <v>1123</v>
      </c>
      <c r="TK975" s="125" t="s">
        <v>1123</v>
      </c>
      <c r="TL975" s="125" t="s">
        <v>1123</v>
      </c>
      <c r="TM975" s="125" t="s">
        <v>1123</v>
      </c>
      <c r="TN975" s="125" t="s">
        <v>1123</v>
      </c>
      <c r="TO975" s="125" t="s">
        <v>1123</v>
      </c>
      <c r="TP975" s="125" t="s">
        <v>1123</v>
      </c>
      <c r="TQ975" s="125" t="s">
        <v>1123</v>
      </c>
      <c r="TR975" s="125" t="s">
        <v>1123</v>
      </c>
      <c r="TS975" s="125" t="s">
        <v>1123</v>
      </c>
      <c r="TT975" s="125" t="s">
        <v>1123</v>
      </c>
      <c r="TU975" s="125" t="s">
        <v>1123</v>
      </c>
      <c r="TV975" s="125" t="s">
        <v>1123</v>
      </c>
      <c r="TW975" s="125" t="s">
        <v>1123</v>
      </c>
      <c r="TX975" s="125" t="s">
        <v>1123</v>
      </c>
      <c r="TY975" s="125" t="s">
        <v>1123</v>
      </c>
      <c r="TZ975" s="125" t="s">
        <v>1123</v>
      </c>
      <c r="UA975" s="125" t="s">
        <v>1123</v>
      </c>
      <c r="UB975" s="125" t="s">
        <v>1123</v>
      </c>
      <c r="UC975" s="125" t="s">
        <v>1123</v>
      </c>
      <c r="UD975" s="125" t="s">
        <v>1123</v>
      </c>
      <c r="UE975" s="125" t="s">
        <v>1123</v>
      </c>
      <c r="UF975" s="125" t="s">
        <v>1123</v>
      </c>
      <c r="UG975" s="125" t="s">
        <v>1123</v>
      </c>
      <c r="UH975" s="125" t="s">
        <v>1123</v>
      </c>
      <c r="UI975" s="125" t="s">
        <v>1123</v>
      </c>
      <c r="UJ975" s="125" t="s">
        <v>1123</v>
      </c>
      <c r="UK975" s="125" t="s">
        <v>1123</v>
      </c>
      <c r="UL975" s="125" t="s">
        <v>1123</v>
      </c>
      <c r="UM975" s="125" t="s">
        <v>1123</v>
      </c>
      <c r="UN975" s="125" t="s">
        <v>1123</v>
      </c>
      <c r="UO975" s="125" t="s">
        <v>1123</v>
      </c>
      <c r="UP975" s="125" t="s">
        <v>1123</v>
      </c>
      <c r="UQ975" s="125" t="s">
        <v>1123</v>
      </c>
      <c r="UR975" s="125" t="s">
        <v>1123</v>
      </c>
      <c r="US975" s="125" t="s">
        <v>1123</v>
      </c>
      <c r="UT975" s="125" t="s">
        <v>1123</v>
      </c>
      <c r="UU975" s="125" t="s">
        <v>1123</v>
      </c>
      <c r="UV975" s="125" t="s">
        <v>1123</v>
      </c>
      <c r="UW975" s="125" t="s">
        <v>1123</v>
      </c>
      <c r="UX975" s="125" t="s">
        <v>1123</v>
      </c>
      <c r="UY975" s="125" t="s">
        <v>1123</v>
      </c>
      <c r="UZ975" s="125" t="s">
        <v>1123</v>
      </c>
      <c r="VA975" s="125" t="s">
        <v>1123</v>
      </c>
      <c r="VB975" s="125" t="s">
        <v>1123</v>
      </c>
      <c r="VC975" s="125" t="s">
        <v>1123</v>
      </c>
      <c r="VD975" s="125" t="s">
        <v>1123</v>
      </c>
      <c r="VE975" s="125" t="s">
        <v>1123</v>
      </c>
      <c r="VF975" s="125" t="s">
        <v>1123</v>
      </c>
      <c r="VG975" s="125" t="s">
        <v>1123</v>
      </c>
      <c r="VH975" s="125" t="s">
        <v>1123</v>
      </c>
      <c r="VI975" s="125" t="s">
        <v>1123</v>
      </c>
      <c r="VJ975" s="125" t="s">
        <v>1123</v>
      </c>
      <c r="VK975" s="125" t="s">
        <v>1123</v>
      </c>
      <c r="VL975" s="125" t="s">
        <v>1123</v>
      </c>
      <c r="VM975" s="125" t="s">
        <v>1123</v>
      </c>
      <c r="VN975" s="125" t="s">
        <v>1123</v>
      </c>
      <c r="VO975" s="125" t="s">
        <v>1123</v>
      </c>
      <c r="VP975" s="125" t="s">
        <v>1123</v>
      </c>
      <c r="VQ975" s="125" t="s">
        <v>1123</v>
      </c>
      <c r="VR975" s="125" t="s">
        <v>1123</v>
      </c>
      <c r="VS975" s="125" t="s">
        <v>1123</v>
      </c>
      <c r="VT975" s="125" t="s">
        <v>1123</v>
      </c>
      <c r="VU975" s="125" t="s">
        <v>1123</v>
      </c>
      <c r="VV975" s="125" t="s">
        <v>1123</v>
      </c>
      <c r="VW975" s="125" t="s">
        <v>1123</v>
      </c>
      <c r="VX975" s="125" t="s">
        <v>1123</v>
      </c>
      <c r="VY975" s="125" t="s">
        <v>1123</v>
      </c>
      <c r="VZ975" s="125" t="s">
        <v>1123</v>
      </c>
      <c r="WA975" s="125" t="s">
        <v>1123</v>
      </c>
      <c r="WB975" s="125" t="s">
        <v>1123</v>
      </c>
      <c r="WC975" s="125" t="s">
        <v>1123</v>
      </c>
      <c r="WD975" s="125" t="s">
        <v>1123</v>
      </c>
      <c r="WE975" s="125" t="s">
        <v>1123</v>
      </c>
      <c r="WF975" s="125" t="s">
        <v>1123</v>
      </c>
      <c r="WG975" s="125" t="s">
        <v>1123</v>
      </c>
      <c r="WH975" s="125" t="s">
        <v>1123</v>
      </c>
      <c r="WI975" s="125" t="s">
        <v>1123</v>
      </c>
      <c r="WJ975" s="125" t="s">
        <v>1123</v>
      </c>
      <c r="WK975" s="125" t="s">
        <v>1123</v>
      </c>
      <c r="WL975" s="125" t="s">
        <v>1123</v>
      </c>
      <c r="WM975" s="125" t="s">
        <v>1123</v>
      </c>
      <c r="WN975" s="125" t="s">
        <v>1123</v>
      </c>
      <c r="WO975" s="125" t="s">
        <v>1123</v>
      </c>
      <c r="WP975" s="125" t="s">
        <v>1123</v>
      </c>
      <c r="WQ975" s="125" t="s">
        <v>1123</v>
      </c>
      <c r="WR975" s="125" t="s">
        <v>1123</v>
      </c>
      <c r="WS975" s="125" t="s">
        <v>1123</v>
      </c>
      <c r="WT975" s="125" t="s">
        <v>1123</v>
      </c>
      <c r="WU975" s="125" t="s">
        <v>1123</v>
      </c>
      <c r="WV975" s="125" t="s">
        <v>1123</v>
      </c>
      <c r="WW975" s="125" t="s">
        <v>1123</v>
      </c>
      <c r="WX975" s="125" t="s">
        <v>1123</v>
      </c>
      <c r="WY975" s="125" t="s">
        <v>1123</v>
      </c>
      <c r="WZ975" s="125" t="s">
        <v>1123</v>
      </c>
      <c r="XA975" s="125" t="s">
        <v>1123</v>
      </c>
      <c r="XB975" s="125" t="s">
        <v>1123</v>
      </c>
      <c r="XC975" s="125" t="s">
        <v>1123</v>
      </c>
      <c r="XD975" s="125" t="s">
        <v>1123</v>
      </c>
      <c r="XE975" s="125" t="s">
        <v>1123</v>
      </c>
      <c r="XF975" s="125" t="s">
        <v>1123</v>
      </c>
      <c r="XG975" s="125" t="s">
        <v>1123</v>
      </c>
      <c r="XH975" s="125" t="s">
        <v>1123</v>
      </c>
      <c r="XI975" s="125" t="s">
        <v>1123</v>
      </c>
      <c r="XJ975" s="125" t="s">
        <v>1123</v>
      </c>
      <c r="XK975" s="125" t="s">
        <v>1123</v>
      </c>
      <c r="XL975" s="125" t="s">
        <v>1123</v>
      </c>
      <c r="XM975" s="125" t="s">
        <v>1123</v>
      </c>
      <c r="XN975" s="125" t="s">
        <v>1123</v>
      </c>
      <c r="XO975" s="125" t="s">
        <v>1123</v>
      </c>
      <c r="XP975" s="125" t="s">
        <v>1123</v>
      </c>
      <c r="XQ975" s="125" t="s">
        <v>1123</v>
      </c>
      <c r="XR975" s="125" t="s">
        <v>1123</v>
      </c>
      <c r="XS975" s="125" t="s">
        <v>1123</v>
      </c>
      <c r="XT975" s="125" t="s">
        <v>1123</v>
      </c>
      <c r="XU975" s="125" t="s">
        <v>1123</v>
      </c>
      <c r="XV975" s="125" t="s">
        <v>1123</v>
      </c>
      <c r="XW975" s="125" t="s">
        <v>1123</v>
      </c>
      <c r="XX975" s="125" t="s">
        <v>1123</v>
      </c>
      <c r="XY975" s="125" t="s">
        <v>1123</v>
      </c>
      <c r="XZ975" s="125" t="s">
        <v>1123</v>
      </c>
      <c r="YA975" s="125" t="s">
        <v>1123</v>
      </c>
      <c r="YB975" s="125" t="s">
        <v>1123</v>
      </c>
      <c r="YC975" s="125" t="s">
        <v>1123</v>
      </c>
      <c r="YD975" s="125" t="s">
        <v>1123</v>
      </c>
      <c r="YE975" s="125" t="s">
        <v>1123</v>
      </c>
      <c r="YF975" s="125" t="s">
        <v>1123</v>
      </c>
      <c r="YG975" s="125" t="s">
        <v>1123</v>
      </c>
      <c r="YH975" s="125" t="s">
        <v>1123</v>
      </c>
      <c r="YI975" s="125" t="s">
        <v>1123</v>
      </c>
      <c r="YJ975" s="125" t="s">
        <v>1123</v>
      </c>
      <c r="YK975" s="125" t="s">
        <v>1123</v>
      </c>
      <c r="YL975" s="125" t="s">
        <v>1123</v>
      </c>
      <c r="YM975" s="125" t="s">
        <v>1123</v>
      </c>
      <c r="YN975" s="125" t="s">
        <v>1123</v>
      </c>
      <c r="YO975" s="125" t="s">
        <v>1123</v>
      </c>
      <c r="YP975" s="125" t="s">
        <v>1123</v>
      </c>
      <c r="YQ975" s="125" t="s">
        <v>1123</v>
      </c>
      <c r="YR975" s="125" t="s">
        <v>1123</v>
      </c>
      <c r="YS975" s="125" t="s">
        <v>1123</v>
      </c>
      <c r="YT975" s="125" t="s">
        <v>1123</v>
      </c>
      <c r="YU975" s="125" t="s">
        <v>1123</v>
      </c>
      <c r="YV975" s="125" t="s">
        <v>1123</v>
      </c>
      <c r="YW975" s="125" t="s">
        <v>1123</v>
      </c>
      <c r="YX975" s="125" t="s">
        <v>1123</v>
      </c>
      <c r="YY975" s="125" t="s">
        <v>1123</v>
      </c>
      <c r="YZ975" s="125" t="s">
        <v>1123</v>
      </c>
      <c r="ZA975" s="125" t="s">
        <v>1123</v>
      </c>
      <c r="ZB975" s="125" t="s">
        <v>1123</v>
      </c>
      <c r="ZC975" s="125" t="s">
        <v>1123</v>
      </c>
      <c r="ZD975" s="125" t="s">
        <v>1123</v>
      </c>
      <c r="ZE975" s="125" t="s">
        <v>1123</v>
      </c>
      <c r="ZF975" s="125" t="s">
        <v>1123</v>
      </c>
      <c r="ZG975" s="125" t="s">
        <v>1123</v>
      </c>
      <c r="ZH975" s="125" t="s">
        <v>1123</v>
      </c>
      <c r="ZI975" s="125" t="s">
        <v>1123</v>
      </c>
      <c r="ZJ975" s="125" t="s">
        <v>1123</v>
      </c>
      <c r="ZK975" s="125" t="s">
        <v>1123</v>
      </c>
      <c r="ZL975" s="125" t="s">
        <v>1123</v>
      </c>
      <c r="ZM975" s="125" t="s">
        <v>1123</v>
      </c>
      <c r="ZN975" s="125" t="s">
        <v>1123</v>
      </c>
      <c r="ZO975" s="125" t="s">
        <v>1123</v>
      </c>
      <c r="ZP975" s="125" t="s">
        <v>1123</v>
      </c>
      <c r="ZQ975" s="125" t="s">
        <v>1123</v>
      </c>
      <c r="ZR975" s="125" t="s">
        <v>1123</v>
      </c>
      <c r="ZS975" s="125" t="s">
        <v>1123</v>
      </c>
      <c r="ZT975" s="125" t="s">
        <v>1123</v>
      </c>
      <c r="ZU975" s="125" t="s">
        <v>1123</v>
      </c>
      <c r="ZV975" s="125" t="s">
        <v>1123</v>
      </c>
      <c r="ZW975" s="125" t="s">
        <v>1123</v>
      </c>
      <c r="ZX975" s="125" t="s">
        <v>1123</v>
      </c>
      <c r="ZY975" s="125" t="s">
        <v>1123</v>
      </c>
      <c r="ZZ975" s="125" t="s">
        <v>1123</v>
      </c>
      <c r="AAA975" s="125" t="s">
        <v>1123</v>
      </c>
      <c r="AAB975" s="125" t="s">
        <v>1123</v>
      </c>
      <c r="AAC975" s="125" t="s">
        <v>1123</v>
      </c>
      <c r="AAD975" s="125" t="s">
        <v>1123</v>
      </c>
      <c r="AAE975" s="125" t="s">
        <v>1123</v>
      </c>
      <c r="AAF975" s="125" t="s">
        <v>1123</v>
      </c>
      <c r="AAG975" s="125" t="s">
        <v>1123</v>
      </c>
      <c r="AAH975" s="125" t="s">
        <v>1123</v>
      </c>
      <c r="AAI975" s="125" t="s">
        <v>1123</v>
      </c>
      <c r="AAJ975" s="125" t="s">
        <v>1123</v>
      </c>
      <c r="AAK975" s="125" t="s">
        <v>1123</v>
      </c>
      <c r="AAL975" s="125" t="s">
        <v>1123</v>
      </c>
      <c r="AAM975" s="125" t="s">
        <v>1123</v>
      </c>
      <c r="AAN975" s="125" t="s">
        <v>1123</v>
      </c>
      <c r="AAO975" s="125" t="s">
        <v>1123</v>
      </c>
      <c r="AAP975" s="125" t="s">
        <v>1123</v>
      </c>
      <c r="AAQ975" s="125" t="s">
        <v>1123</v>
      </c>
      <c r="AAR975" s="125" t="s">
        <v>1123</v>
      </c>
      <c r="AAS975" s="125" t="s">
        <v>1123</v>
      </c>
      <c r="AAT975" s="125" t="s">
        <v>1123</v>
      </c>
      <c r="AAU975" s="125" t="s">
        <v>1123</v>
      </c>
      <c r="AAV975" s="125" t="s">
        <v>1123</v>
      </c>
      <c r="AAW975" s="125" t="s">
        <v>1123</v>
      </c>
      <c r="AAX975" s="125" t="s">
        <v>1123</v>
      </c>
      <c r="AAY975" s="125" t="s">
        <v>1123</v>
      </c>
      <c r="AAZ975" s="125" t="s">
        <v>1123</v>
      </c>
      <c r="ABA975" s="125" t="s">
        <v>1123</v>
      </c>
      <c r="ABB975" s="125" t="s">
        <v>1123</v>
      </c>
      <c r="ABC975" s="125" t="s">
        <v>1123</v>
      </c>
      <c r="ABD975" s="125" t="s">
        <v>1123</v>
      </c>
      <c r="ABE975" s="125" t="s">
        <v>1123</v>
      </c>
      <c r="ABF975" s="125" t="s">
        <v>1123</v>
      </c>
      <c r="ABG975" s="125" t="s">
        <v>1123</v>
      </c>
      <c r="ABH975" s="125" t="s">
        <v>1123</v>
      </c>
      <c r="ABI975" s="125" t="s">
        <v>1123</v>
      </c>
      <c r="ABJ975" s="125" t="s">
        <v>1123</v>
      </c>
      <c r="ABK975" s="125" t="s">
        <v>1123</v>
      </c>
      <c r="ABL975" s="125" t="s">
        <v>1123</v>
      </c>
      <c r="ABM975" s="125" t="s">
        <v>1123</v>
      </c>
      <c r="ABN975" s="125" t="s">
        <v>1123</v>
      </c>
      <c r="ABO975" s="125" t="s">
        <v>1123</v>
      </c>
      <c r="ABP975" s="125" t="s">
        <v>1123</v>
      </c>
      <c r="ABQ975" s="125" t="s">
        <v>1123</v>
      </c>
      <c r="ABR975" s="125" t="s">
        <v>1123</v>
      </c>
      <c r="ABS975" s="125" t="s">
        <v>1123</v>
      </c>
      <c r="ABT975" s="125" t="s">
        <v>1123</v>
      </c>
      <c r="ABU975" s="125" t="s">
        <v>1123</v>
      </c>
      <c r="ABV975" s="125" t="s">
        <v>1123</v>
      </c>
      <c r="ABW975" s="125" t="s">
        <v>1123</v>
      </c>
      <c r="ABX975" s="125" t="s">
        <v>1123</v>
      </c>
      <c r="ABY975" s="125" t="s">
        <v>1123</v>
      </c>
      <c r="ABZ975" s="125" t="s">
        <v>1123</v>
      </c>
      <c r="ACA975" s="125" t="s">
        <v>1123</v>
      </c>
      <c r="ACB975" s="125" t="s">
        <v>1123</v>
      </c>
      <c r="ACC975" s="125" t="s">
        <v>1123</v>
      </c>
      <c r="ACD975" s="125" t="s">
        <v>1123</v>
      </c>
      <c r="ACE975" s="125" t="s">
        <v>1123</v>
      </c>
      <c r="ACF975" s="125" t="s">
        <v>1123</v>
      </c>
      <c r="ACG975" s="125" t="s">
        <v>1123</v>
      </c>
      <c r="ACH975" s="125" t="s">
        <v>1123</v>
      </c>
      <c r="ACI975" s="125" t="s">
        <v>1123</v>
      </c>
      <c r="ACJ975" s="125" t="s">
        <v>1123</v>
      </c>
      <c r="ACK975" s="125" t="s">
        <v>1123</v>
      </c>
      <c r="ACL975" s="125" t="s">
        <v>1123</v>
      </c>
      <c r="ACM975" s="125" t="s">
        <v>1123</v>
      </c>
      <c r="ACN975" s="125" t="s">
        <v>1123</v>
      </c>
      <c r="ACO975" s="125" t="s">
        <v>1123</v>
      </c>
      <c r="ACP975" s="125" t="s">
        <v>1123</v>
      </c>
      <c r="ACQ975" s="125" t="s">
        <v>1123</v>
      </c>
      <c r="ACR975" s="125" t="s">
        <v>1123</v>
      </c>
      <c r="ACS975" s="125" t="s">
        <v>1123</v>
      </c>
      <c r="ACT975" s="125" t="s">
        <v>1123</v>
      </c>
      <c r="ACU975" s="125" t="s">
        <v>1123</v>
      </c>
      <c r="ACV975" s="125" t="s">
        <v>1123</v>
      </c>
      <c r="ACW975" s="125" t="s">
        <v>1123</v>
      </c>
      <c r="ACX975" s="125" t="s">
        <v>1123</v>
      </c>
      <c r="ACY975" s="125" t="s">
        <v>1123</v>
      </c>
      <c r="ACZ975" s="125" t="s">
        <v>1123</v>
      </c>
      <c r="ADA975" s="125" t="s">
        <v>1123</v>
      </c>
      <c r="ADB975" s="125" t="s">
        <v>1123</v>
      </c>
      <c r="ADC975" s="125" t="s">
        <v>1123</v>
      </c>
      <c r="ADD975" s="125" t="s">
        <v>1123</v>
      </c>
      <c r="ADE975" s="125" t="s">
        <v>1123</v>
      </c>
      <c r="ADF975" s="125" t="s">
        <v>1123</v>
      </c>
      <c r="ADG975" s="125" t="s">
        <v>1123</v>
      </c>
      <c r="ADH975" s="125" t="s">
        <v>1123</v>
      </c>
      <c r="ADI975" s="125" t="s">
        <v>1123</v>
      </c>
      <c r="ADJ975" s="125" t="s">
        <v>1123</v>
      </c>
      <c r="ADK975" s="125" t="s">
        <v>1123</v>
      </c>
      <c r="ADL975" s="125" t="s">
        <v>1123</v>
      </c>
      <c r="ADM975" s="125" t="s">
        <v>1123</v>
      </c>
      <c r="ADN975" s="125" t="s">
        <v>1123</v>
      </c>
      <c r="ADO975" s="125" t="s">
        <v>1123</v>
      </c>
      <c r="ADP975" s="125" t="s">
        <v>1123</v>
      </c>
      <c r="ADQ975" s="125" t="s">
        <v>1123</v>
      </c>
      <c r="ADR975" s="125" t="s">
        <v>1123</v>
      </c>
      <c r="ADS975" s="125" t="s">
        <v>1123</v>
      </c>
      <c r="ADT975" s="125" t="s">
        <v>1123</v>
      </c>
      <c r="ADU975" s="125" t="s">
        <v>1123</v>
      </c>
      <c r="ADV975" s="125" t="s">
        <v>1123</v>
      </c>
      <c r="ADW975" s="125" t="s">
        <v>1123</v>
      </c>
      <c r="ADX975" s="125" t="s">
        <v>1123</v>
      </c>
      <c r="ADY975" s="125" t="s">
        <v>1123</v>
      </c>
      <c r="ADZ975" s="125" t="s">
        <v>1123</v>
      </c>
      <c r="AEA975" s="125" t="s">
        <v>1123</v>
      </c>
      <c r="AEB975" s="125" t="s">
        <v>1123</v>
      </c>
      <c r="AEC975" s="125" t="s">
        <v>1123</v>
      </c>
      <c r="AED975" s="125" t="s">
        <v>1123</v>
      </c>
      <c r="AEE975" s="125" t="s">
        <v>1123</v>
      </c>
      <c r="AEF975" s="125" t="s">
        <v>1123</v>
      </c>
      <c r="AEG975" s="125" t="s">
        <v>1123</v>
      </c>
      <c r="AEH975" s="125" t="s">
        <v>1123</v>
      </c>
      <c r="AEI975" s="125" t="s">
        <v>1123</v>
      </c>
      <c r="AEJ975" s="125" t="s">
        <v>1123</v>
      </c>
      <c r="AEK975" s="125" t="s">
        <v>1123</v>
      </c>
      <c r="AEL975" s="125" t="s">
        <v>1123</v>
      </c>
      <c r="AEM975" s="125" t="s">
        <v>1123</v>
      </c>
      <c r="AEN975" s="125" t="s">
        <v>1123</v>
      </c>
      <c r="AEO975" s="125" t="s">
        <v>1123</v>
      </c>
      <c r="AEP975" s="125" t="s">
        <v>1123</v>
      </c>
      <c r="AEQ975" s="125" t="s">
        <v>1123</v>
      </c>
      <c r="AER975" s="125" t="s">
        <v>1123</v>
      </c>
      <c r="AES975" s="125" t="s">
        <v>1123</v>
      </c>
      <c r="AET975" s="125" t="s">
        <v>1123</v>
      </c>
      <c r="AEU975" s="125" t="s">
        <v>1123</v>
      </c>
      <c r="AEV975" s="125" t="s">
        <v>1123</v>
      </c>
      <c r="AEW975" s="125" t="s">
        <v>1123</v>
      </c>
      <c r="AEX975" s="125" t="s">
        <v>1123</v>
      </c>
      <c r="AEY975" s="125" t="s">
        <v>1123</v>
      </c>
      <c r="AEZ975" s="125" t="s">
        <v>1123</v>
      </c>
      <c r="AFA975" s="125" t="s">
        <v>1123</v>
      </c>
      <c r="AFB975" s="125" t="s">
        <v>1123</v>
      </c>
      <c r="AFC975" s="125" t="s">
        <v>1123</v>
      </c>
      <c r="AFD975" s="125" t="s">
        <v>1123</v>
      </c>
      <c r="AFE975" s="125" t="s">
        <v>1123</v>
      </c>
      <c r="AFF975" s="125" t="s">
        <v>1123</v>
      </c>
      <c r="AFG975" s="125" t="s">
        <v>1123</v>
      </c>
      <c r="AFH975" s="125" t="s">
        <v>1123</v>
      </c>
      <c r="AFI975" s="125" t="s">
        <v>1123</v>
      </c>
      <c r="AFJ975" s="125" t="s">
        <v>1123</v>
      </c>
      <c r="AFK975" s="125" t="s">
        <v>1123</v>
      </c>
      <c r="AFL975" s="125" t="s">
        <v>1123</v>
      </c>
      <c r="AFM975" s="125" t="s">
        <v>1123</v>
      </c>
      <c r="AFN975" s="125" t="s">
        <v>1123</v>
      </c>
      <c r="AFO975" s="125" t="s">
        <v>1123</v>
      </c>
      <c r="AFP975" s="125" t="s">
        <v>1123</v>
      </c>
      <c r="AFQ975" s="125" t="s">
        <v>1123</v>
      </c>
      <c r="AFR975" s="125" t="s">
        <v>1123</v>
      </c>
      <c r="AFS975" s="125" t="s">
        <v>1123</v>
      </c>
      <c r="AFT975" s="125" t="s">
        <v>1123</v>
      </c>
      <c r="AFU975" s="125" t="s">
        <v>1123</v>
      </c>
      <c r="AFV975" s="125" t="s">
        <v>1123</v>
      </c>
      <c r="AFW975" s="125" t="s">
        <v>1123</v>
      </c>
      <c r="AFX975" s="125" t="s">
        <v>1123</v>
      </c>
      <c r="AFY975" s="125" t="s">
        <v>1123</v>
      </c>
      <c r="AFZ975" s="125" t="s">
        <v>1123</v>
      </c>
      <c r="AGA975" s="125" t="s">
        <v>1123</v>
      </c>
      <c r="AGB975" s="125" t="s">
        <v>1123</v>
      </c>
      <c r="AGC975" s="125" t="s">
        <v>1123</v>
      </c>
      <c r="AGD975" s="125" t="s">
        <v>1123</v>
      </c>
      <c r="AGE975" s="125" t="s">
        <v>1123</v>
      </c>
      <c r="AGF975" s="125" t="s">
        <v>1123</v>
      </c>
      <c r="AGG975" s="125" t="s">
        <v>1123</v>
      </c>
      <c r="AGH975" s="125" t="s">
        <v>1123</v>
      </c>
      <c r="AGI975" s="125" t="s">
        <v>1123</v>
      </c>
      <c r="AGJ975" s="125" t="s">
        <v>1123</v>
      </c>
      <c r="AGK975" s="125" t="s">
        <v>1123</v>
      </c>
      <c r="AGL975" s="125" t="s">
        <v>1123</v>
      </c>
      <c r="AGM975" s="125" t="s">
        <v>1123</v>
      </c>
      <c r="AGN975" s="125" t="s">
        <v>1123</v>
      </c>
      <c r="AGO975" s="125" t="s">
        <v>1123</v>
      </c>
      <c r="AGP975" s="125" t="s">
        <v>1123</v>
      </c>
      <c r="AGQ975" s="125" t="s">
        <v>1123</v>
      </c>
      <c r="AGR975" s="125" t="s">
        <v>1123</v>
      </c>
      <c r="AGS975" s="125" t="s">
        <v>1123</v>
      </c>
      <c r="AGT975" s="125" t="s">
        <v>1123</v>
      </c>
      <c r="AGU975" s="125" t="s">
        <v>1123</v>
      </c>
      <c r="AGV975" s="125" t="s">
        <v>1123</v>
      </c>
      <c r="AGW975" s="125" t="s">
        <v>1123</v>
      </c>
      <c r="AGX975" s="125" t="s">
        <v>1123</v>
      </c>
      <c r="AGY975" s="125" t="s">
        <v>1123</v>
      </c>
      <c r="AGZ975" s="125" t="s">
        <v>1123</v>
      </c>
      <c r="AHA975" s="125" t="s">
        <v>1123</v>
      </c>
      <c r="AHB975" s="125" t="s">
        <v>1123</v>
      </c>
      <c r="AHC975" s="125" t="s">
        <v>1123</v>
      </c>
      <c r="AHD975" s="125" t="s">
        <v>1123</v>
      </c>
      <c r="AHE975" s="125" t="s">
        <v>1123</v>
      </c>
      <c r="AHF975" s="125" t="s">
        <v>1123</v>
      </c>
      <c r="AHG975" s="125" t="s">
        <v>1123</v>
      </c>
      <c r="AHH975" s="125" t="s">
        <v>1123</v>
      </c>
      <c r="AHI975" s="125" t="s">
        <v>1123</v>
      </c>
      <c r="AHJ975" s="125" t="s">
        <v>1123</v>
      </c>
      <c r="AHK975" s="125" t="s">
        <v>1123</v>
      </c>
      <c r="AHL975" s="125" t="s">
        <v>1123</v>
      </c>
      <c r="AHM975" s="125" t="s">
        <v>1123</v>
      </c>
      <c r="AHN975" s="125" t="s">
        <v>1123</v>
      </c>
      <c r="AHO975" s="125" t="s">
        <v>1123</v>
      </c>
      <c r="AHP975" s="125" t="s">
        <v>1123</v>
      </c>
      <c r="AHQ975" s="125" t="s">
        <v>1123</v>
      </c>
      <c r="AHR975" s="125" t="s">
        <v>1123</v>
      </c>
      <c r="AHS975" s="125" t="s">
        <v>1123</v>
      </c>
      <c r="AHT975" s="125" t="s">
        <v>1123</v>
      </c>
      <c r="AHU975" s="125" t="s">
        <v>1123</v>
      </c>
      <c r="AHV975" s="125" t="s">
        <v>1123</v>
      </c>
      <c r="AHW975" s="125" t="s">
        <v>1123</v>
      </c>
      <c r="AHX975" s="125" t="s">
        <v>1123</v>
      </c>
      <c r="AHY975" s="125" t="s">
        <v>1123</v>
      </c>
      <c r="AHZ975" s="125" t="s">
        <v>1123</v>
      </c>
      <c r="AIA975" s="125" t="s">
        <v>1123</v>
      </c>
      <c r="AIB975" s="125" t="s">
        <v>1123</v>
      </c>
      <c r="AIC975" s="125" t="s">
        <v>1123</v>
      </c>
      <c r="AID975" s="125" t="s">
        <v>1123</v>
      </c>
      <c r="AIE975" s="125" t="s">
        <v>1123</v>
      </c>
      <c r="AIF975" s="125" t="s">
        <v>1123</v>
      </c>
      <c r="AIG975" s="125" t="s">
        <v>1123</v>
      </c>
      <c r="AIH975" s="125" t="s">
        <v>1123</v>
      </c>
      <c r="AII975" s="125" t="s">
        <v>1123</v>
      </c>
      <c r="AIJ975" s="125" t="s">
        <v>1123</v>
      </c>
      <c r="AIK975" s="125" t="s">
        <v>1123</v>
      </c>
      <c r="AIL975" s="125" t="s">
        <v>1123</v>
      </c>
      <c r="AIM975" s="125" t="s">
        <v>1123</v>
      </c>
      <c r="AIN975" s="125" t="s">
        <v>1123</v>
      </c>
      <c r="AIO975" s="125" t="s">
        <v>1123</v>
      </c>
      <c r="AIP975" s="125" t="s">
        <v>1123</v>
      </c>
      <c r="AIQ975" s="125" t="s">
        <v>1123</v>
      </c>
      <c r="AIR975" s="125" t="s">
        <v>1123</v>
      </c>
      <c r="AIS975" s="125" t="s">
        <v>1123</v>
      </c>
      <c r="AIT975" s="125" t="s">
        <v>1123</v>
      </c>
      <c r="AIU975" s="125" t="s">
        <v>1123</v>
      </c>
      <c r="AIV975" s="125" t="s">
        <v>1123</v>
      </c>
      <c r="AIW975" s="125" t="s">
        <v>1123</v>
      </c>
      <c r="AIX975" s="125" t="s">
        <v>1123</v>
      </c>
      <c r="AIY975" s="125" t="s">
        <v>1123</v>
      </c>
      <c r="AIZ975" s="125" t="s">
        <v>1123</v>
      </c>
      <c r="AJA975" s="125" t="s">
        <v>1123</v>
      </c>
      <c r="AJB975" s="125" t="s">
        <v>1123</v>
      </c>
      <c r="AJC975" s="125" t="s">
        <v>1123</v>
      </c>
      <c r="AJD975" s="125" t="s">
        <v>1123</v>
      </c>
      <c r="AJE975" s="125" t="s">
        <v>1123</v>
      </c>
      <c r="AJF975" s="125" t="s">
        <v>1123</v>
      </c>
      <c r="AJG975" s="125" t="s">
        <v>1123</v>
      </c>
      <c r="AJH975" s="125" t="s">
        <v>1123</v>
      </c>
      <c r="AJI975" s="125" t="s">
        <v>1123</v>
      </c>
      <c r="AJJ975" s="125" t="s">
        <v>1123</v>
      </c>
      <c r="AJK975" s="125" t="s">
        <v>1123</v>
      </c>
      <c r="AJL975" s="125" t="s">
        <v>1123</v>
      </c>
      <c r="AJM975" s="125" t="s">
        <v>1123</v>
      </c>
      <c r="AJN975" s="125" t="s">
        <v>1123</v>
      </c>
      <c r="AJO975" s="125" t="s">
        <v>1123</v>
      </c>
      <c r="AJP975" s="125" t="s">
        <v>1123</v>
      </c>
      <c r="AJQ975" s="125" t="s">
        <v>1123</v>
      </c>
      <c r="AJR975" s="125" t="s">
        <v>1123</v>
      </c>
      <c r="AJS975" s="125" t="s">
        <v>1123</v>
      </c>
      <c r="AJT975" s="125" t="s">
        <v>1123</v>
      </c>
      <c r="AJU975" s="125" t="s">
        <v>1123</v>
      </c>
      <c r="AJV975" s="125" t="s">
        <v>1123</v>
      </c>
      <c r="AJW975" s="125" t="s">
        <v>1123</v>
      </c>
      <c r="AJX975" s="125" t="s">
        <v>1123</v>
      </c>
      <c r="AJY975" s="125" t="s">
        <v>1123</v>
      </c>
      <c r="AJZ975" s="125" t="s">
        <v>1123</v>
      </c>
      <c r="AKA975" s="125" t="s">
        <v>1123</v>
      </c>
      <c r="AKB975" s="125" t="s">
        <v>1123</v>
      </c>
      <c r="AKC975" s="125" t="s">
        <v>1123</v>
      </c>
      <c r="AKD975" s="125" t="s">
        <v>1123</v>
      </c>
      <c r="AKE975" s="125" t="s">
        <v>1123</v>
      </c>
      <c r="AKF975" s="125" t="s">
        <v>1123</v>
      </c>
      <c r="AKG975" s="125" t="s">
        <v>1123</v>
      </c>
      <c r="AKH975" s="125" t="s">
        <v>1123</v>
      </c>
      <c r="AKI975" s="125" t="s">
        <v>1123</v>
      </c>
      <c r="AKJ975" s="125" t="s">
        <v>1123</v>
      </c>
      <c r="AKK975" s="125" t="s">
        <v>1123</v>
      </c>
      <c r="AKL975" s="125" t="s">
        <v>1123</v>
      </c>
      <c r="AKM975" s="125" t="s">
        <v>1123</v>
      </c>
      <c r="AKN975" s="125" t="s">
        <v>1123</v>
      </c>
      <c r="AKO975" s="125" t="s">
        <v>1123</v>
      </c>
      <c r="AKP975" s="125" t="s">
        <v>1123</v>
      </c>
      <c r="AKQ975" s="125" t="s">
        <v>1123</v>
      </c>
      <c r="AKR975" s="125" t="s">
        <v>1123</v>
      </c>
      <c r="AKS975" s="125" t="s">
        <v>1123</v>
      </c>
      <c r="AKT975" s="125" t="s">
        <v>1123</v>
      </c>
      <c r="AKU975" s="125" t="s">
        <v>1123</v>
      </c>
      <c r="AKV975" s="125" t="s">
        <v>1123</v>
      </c>
      <c r="AKW975" s="125" t="s">
        <v>1123</v>
      </c>
      <c r="AKX975" s="125" t="s">
        <v>1123</v>
      </c>
      <c r="AKY975" s="125" t="s">
        <v>1123</v>
      </c>
      <c r="AKZ975" s="125" t="s">
        <v>1123</v>
      </c>
      <c r="ALA975" s="125" t="s">
        <v>1123</v>
      </c>
      <c r="ALB975" s="125" t="s">
        <v>1123</v>
      </c>
      <c r="ALC975" s="125" t="s">
        <v>1123</v>
      </c>
      <c r="ALD975" s="125" t="s">
        <v>1123</v>
      </c>
      <c r="ALE975" s="125" t="s">
        <v>1123</v>
      </c>
      <c r="ALF975" s="125" t="s">
        <v>1123</v>
      </c>
      <c r="ALG975" s="125" t="s">
        <v>1123</v>
      </c>
      <c r="ALH975" s="125" t="s">
        <v>1123</v>
      </c>
      <c r="ALI975" s="125" t="s">
        <v>1123</v>
      </c>
      <c r="ALJ975" s="125" t="s">
        <v>1123</v>
      </c>
      <c r="ALK975" s="125" t="s">
        <v>1123</v>
      </c>
      <c r="ALL975" s="125" t="s">
        <v>1123</v>
      </c>
      <c r="ALM975" s="125" t="s">
        <v>1123</v>
      </c>
      <c r="ALN975" s="125" t="s">
        <v>1123</v>
      </c>
      <c r="ALO975" s="125" t="s">
        <v>1123</v>
      </c>
      <c r="ALP975" s="125" t="s">
        <v>1123</v>
      </c>
      <c r="ALQ975" s="125" t="s">
        <v>1123</v>
      </c>
      <c r="ALR975" s="125" t="s">
        <v>1123</v>
      </c>
      <c r="ALS975" s="125" t="s">
        <v>1123</v>
      </c>
      <c r="ALT975" s="125" t="s">
        <v>1123</v>
      </c>
      <c r="ALU975" s="125" t="s">
        <v>1123</v>
      </c>
      <c r="ALV975" s="125" t="s">
        <v>1123</v>
      </c>
      <c r="ALW975" s="125" t="s">
        <v>1123</v>
      </c>
      <c r="ALX975" s="125" t="s">
        <v>1123</v>
      </c>
      <c r="ALY975" s="125" t="s">
        <v>1123</v>
      </c>
      <c r="ALZ975" s="125" t="s">
        <v>1123</v>
      </c>
      <c r="AMA975" s="125" t="s">
        <v>1123</v>
      </c>
      <c r="AMB975" s="125" t="s">
        <v>1123</v>
      </c>
      <c r="AMC975" s="125" t="s">
        <v>1123</v>
      </c>
      <c r="AMD975" s="125" t="s">
        <v>1123</v>
      </c>
      <c r="AME975" s="125" t="s">
        <v>1123</v>
      </c>
      <c r="AMF975" s="125" t="s">
        <v>1123</v>
      </c>
      <c r="AMG975" s="125" t="s">
        <v>1123</v>
      </c>
      <c r="AMH975" s="125" t="s">
        <v>1123</v>
      </c>
      <c r="AMI975" s="125" t="s">
        <v>1123</v>
      </c>
      <c r="AMJ975" s="125" t="s">
        <v>1123</v>
      </c>
    </row>
    <row r="976" customFormat="false" ht="12.75" hidden="false" customHeight="true" outlineLevel="0" collapsed="false">
      <c r="A976" s="96" t="n">
        <v>104</v>
      </c>
      <c r="B976" s="88" t="s">
        <v>126</v>
      </c>
      <c r="C976" s="98" t="n">
        <v>43087</v>
      </c>
      <c r="D976" s="87" t="n">
        <v>1</v>
      </c>
      <c r="E976" s="99" t="n">
        <v>1</v>
      </c>
      <c r="F976" s="89" t="s">
        <v>178</v>
      </c>
      <c r="G976" s="90" t="s">
        <v>1124</v>
      </c>
      <c r="DI976" s="0" t="s">
        <v>1124</v>
      </c>
      <c r="DJ976" s="0" t="s">
        <v>1124</v>
      </c>
      <c r="DK976" s="0" t="s">
        <v>1124</v>
      </c>
      <c r="DL976" s="0" t="s">
        <v>1124</v>
      </c>
      <c r="DM976" s="0" t="s">
        <v>1124</v>
      </c>
      <c r="DN976" s="0" t="s">
        <v>1124</v>
      </c>
      <c r="DO976" s="0" t="s">
        <v>1124</v>
      </c>
      <c r="DP976" s="0" t="s">
        <v>1124</v>
      </c>
      <c r="DQ976" s="0" t="s">
        <v>1124</v>
      </c>
      <c r="DR976" s="0" t="s">
        <v>1124</v>
      </c>
      <c r="DS976" s="0" t="s">
        <v>1124</v>
      </c>
      <c r="DT976" s="0" t="s">
        <v>1124</v>
      </c>
      <c r="DU976" s="0" t="s">
        <v>1124</v>
      </c>
      <c r="DV976" s="0" t="s">
        <v>1124</v>
      </c>
      <c r="DW976" s="0" t="s">
        <v>1124</v>
      </c>
      <c r="DX976" s="0" t="s">
        <v>1124</v>
      </c>
      <c r="DY976" s="0" t="s">
        <v>1124</v>
      </c>
      <c r="DZ976" s="0" t="s">
        <v>1124</v>
      </c>
      <c r="EA976" s="0" t="s">
        <v>1124</v>
      </c>
      <c r="EB976" s="0" t="s">
        <v>1124</v>
      </c>
      <c r="EC976" s="0" t="s">
        <v>1124</v>
      </c>
      <c r="ED976" s="0" t="s">
        <v>1124</v>
      </c>
      <c r="EE976" s="0" t="s">
        <v>1124</v>
      </c>
      <c r="EF976" s="0" t="s">
        <v>1124</v>
      </c>
      <c r="EG976" s="0" t="s">
        <v>1124</v>
      </c>
      <c r="EH976" s="0" t="s">
        <v>1124</v>
      </c>
      <c r="EI976" s="0" t="s">
        <v>1124</v>
      </c>
      <c r="EJ976" s="0" t="s">
        <v>1124</v>
      </c>
      <c r="EK976" s="0" t="s">
        <v>1124</v>
      </c>
      <c r="EL976" s="0" t="s">
        <v>1124</v>
      </c>
      <c r="EM976" s="0" t="s">
        <v>1124</v>
      </c>
      <c r="EN976" s="0" t="s">
        <v>1124</v>
      </c>
      <c r="EO976" s="0" t="s">
        <v>1124</v>
      </c>
      <c r="EP976" s="0" t="s">
        <v>1124</v>
      </c>
      <c r="EQ976" s="0" t="s">
        <v>1124</v>
      </c>
      <c r="ER976" s="0" t="s">
        <v>1124</v>
      </c>
      <c r="ES976" s="0" t="s">
        <v>1124</v>
      </c>
      <c r="ET976" s="0" t="s">
        <v>1124</v>
      </c>
      <c r="EU976" s="0" t="s">
        <v>1124</v>
      </c>
      <c r="EV976" s="0" t="s">
        <v>1124</v>
      </c>
      <c r="EW976" s="0" t="s">
        <v>1124</v>
      </c>
      <c r="EX976" s="0" t="s">
        <v>1124</v>
      </c>
      <c r="EY976" s="0" t="s">
        <v>1124</v>
      </c>
      <c r="EZ976" s="0" t="s">
        <v>1124</v>
      </c>
      <c r="FA976" s="0" t="s">
        <v>1124</v>
      </c>
      <c r="FB976" s="0" t="s">
        <v>1124</v>
      </c>
      <c r="FC976" s="0" t="s">
        <v>1124</v>
      </c>
      <c r="FD976" s="0" t="s">
        <v>1124</v>
      </c>
      <c r="FE976" s="0" t="s">
        <v>1124</v>
      </c>
      <c r="FF976" s="0" t="s">
        <v>1124</v>
      </c>
      <c r="FG976" s="0" t="s">
        <v>1124</v>
      </c>
      <c r="FH976" s="0" t="s">
        <v>1124</v>
      </c>
      <c r="FI976" s="0" t="s">
        <v>1124</v>
      </c>
      <c r="FJ976" s="0" t="s">
        <v>1124</v>
      </c>
      <c r="FK976" s="0" t="s">
        <v>1124</v>
      </c>
      <c r="FL976" s="0" t="s">
        <v>1124</v>
      </c>
      <c r="FM976" s="0" t="s">
        <v>1124</v>
      </c>
      <c r="FN976" s="0" t="s">
        <v>1124</v>
      </c>
      <c r="FO976" s="0" t="s">
        <v>1124</v>
      </c>
      <c r="FP976" s="0" t="s">
        <v>1124</v>
      </c>
      <c r="FQ976" s="0" t="s">
        <v>1124</v>
      </c>
      <c r="FR976" s="0" t="s">
        <v>1124</v>
      </c>
      <c r="FS976" s="0" t="s">
        <v>1124</v>
      </c>
      <c r="FT976" s="0" t="s">
        <v>1124</v>
      </c>
      <c r="FU976" s="0" t="s">
        <v>1124</v>
      </c>
      <c r="FV976" s="0" t="s">
        <v>1124</v>
      </c>
      <c r="FW976" s="0" t="s">
        <v>1124</v>
      </c>
      <c r="FX976" s="0" t="s">
        <v>1124</v>
      </c>
      <c r="FY976" s="0" t="s">
        <v>1124</v>
      </c>
      <c r="FZ976" s="0" t="s">
        <v>1124</v>
      </c>
      <c r="GA976" s="0" t="s">
        <v>1124</v>
      </c>
      <c r="GB976" s="0" t="s">
        <v>1124</v>
      </c>
      <c r="GC976" s="0" t="s">
        <v>1124</v>
      </c>
      <c r="GD976" s="0" t="s">
        <v>1124</v>
      </c>
      <c r="GE976" s="0" t="s">
        <v>1124</v>
      </c>
      <c r="GF976" s="0" t="s">
        <v>1124</v>
      </c>
      <c r="GG976" s="0" t="s">
        <v>1124</v>
      </c>
      <c r="GH976" s="0" t="s">
        <v>1124</v>
      </c>
      <c r="GI976" s="0" t="s">
        <v>1124</v>
      </c>
      <c r="GJ976" s="0" t="s">
        <v>1124</v>
      </c>
      <c r="GK976" s="0" t="s">
        <v>1124</v>
      </c>
      <c r="GL976" s="0" t="s">
        <v>1124</v>
      </c>
      <c r="GM976" s="0" t="s">
        <v>1124</v>
      </c>
      <c r="GN976" s="0" t="s">
        <v>1124</v>
      </c>
      <c r="GO976" s="0" t="s">
        <v>1124</v>
      </c>
      <c r="GP976" s="0" t="s">
        <v>1124</v>
      </c>
      <c r="GQ976" s="0" t="s">
        <v>1124</v>
      </c>
      <c r="GR976" s="0" t="s">
        <v>1124</v>
      </c>
      <c r="GS976" s="0" t="s">
        <v>1124</v>
      </c>
      <c r="GT976" s="0" t="s">
        <v>1124</v>
      </c>
      <c r="GU976" s="0" t="s">
        <v>1124</v>
      </c>
      <c r="GV976" s="0" t="s">
        <v>1124</v>
      </c>
      <c r="GW976" s="0" t="s">
        <v>1124</v>
      </c>
      <c r="GX976" s="0" t="s">
        <v>1124</v>
      </c>
      <c r="GY976" s="0" t="s">
        <v>1124</v>
      </c>
      <c r="GZ976" s="0" t="s">
        <v>1124</v>
      </c>
      <c r="HA976" s="0" t="s">
        <v>1124</v>
      </c>
      <c r="HB976" s="0" t="s">
        <v>1124</v>
      </c>
      <c r="HC976" s="0" t="s">
        <v>1124</v>
      </c>
      <c r="HD976" s="0" t="s">
        <v>1124</v>
      </c>
      <c r="HE976" s="0" t="s">
        <v>1124</v>
      </c>
      <c r="HF976" s="0" t="s">
        <v>1124</v>
      </c>
      <c r="HG976" s="0" t="s">
        <v>1124</v>
      </c>
      <c r="HH976" s="0" t="s">
        <v>1124</v>
      </c>
      <c r="HI976" s="0" t="s">
        <v>1124</v>
      </c>
      <c r="HJ976" s="0" t="s">
        <v>1124</v>
      </c>
      <c r="HK976" s="0" t="s">
        <v>1124</v>
      </c>
      <c r="HL976" s="0" t="s">
        <v>1124</v>
      </c>
      <c r="HM976" s="0" t="s">
        <v>1124</v>
      </c>
      <c r="HN976" s="0" t="s">
        <v>1124</v>
      </c>
      <c r="HO976" s="0" t="s">
        <v>1124</v>
      </c>
      <c r="HP976" s="0" t="s">
        <v>1124</v>
      </c>
      <c r="HQ976" s="0" t="s">
        <v>1124</v>
      </c>
      <c r="HR976" s="0" t="s">
        <v>1124</v>
      </c>
      <c r="HS976" s="0" t="s">
        <v>1124</v>
      </c>
      <c r="HT976" s="0" t="s">
        <v>1124</v>
      </c>
      <c r="HU976" s="0" t="s">
        <v>1124</v>
      </c>
      <c r="HV976" s="0" t="s">
        <v>1124</v>
      </c>
      <c r="HW976" s="0" t="s">
        <v>1124</v>
      </c>
      <c r="HX976" s="0" t="s">
        <v>1124</v>
      </c>
      <c r="HY976" s="0" t="s">
        <v>1124</v>
      </c>
      <c r="HZ976" s="0" t="s">
        <v>1124</v>
      </c>
      <c r="IA976" s="0" t="s">
        <v>1124</v>
      </c>
      <c r="IB976" s="0" t="s">
        <v>1124</v>
      </c>
      <c r="IC976" s="0" t="s">
        <v>1124</v>
      </c>
      <c r="ID976" s="0" t="s">
        <v>1124</v>
      </c>
      <c r="IE976" s="0" t="s">
        <v>1124</v>
      </c>
      <c r="IF976" s="0" t="s">
        <v>1124</v>
      </c>
      <c r="IG976" s="0" t="s">
        <v>1124</v>
      </c>
      <c r="IH976" s="0" t="s">
        <v>1124</v>
      </c>
      <c r="II976" s="0" t="s">
        <v>1124</v>
      </c>
      <c r="IJ976" s="0" t="s">
        <v>1124</v>
      </c>
      <c r="IK976" s="0" t="s">
        <v>1124</v>
      </c>
      <c r="IL976" s="0" t="s">
        <v>1124</v>
      </c>
      <c r="IM976" s="0" t="s">
        <v>1124</v>
      </c>
      <c r="IN976" s="0" t="s">
        <v>1124</v>
      </c>
      <c r="IO976" s="0" t="s">
        <v>1124</v>
      </c>
      <c r="IP976" s="0" t="s">
        <v>1124</v>
      </c>
      <c r="IQ976" s="0" t="s">
        <v>1124</v>
      </c>
      <c r="IR976" s="0" t="s">
        <v>1124</v>
      </c>
      <c r="IS976" s="0" t="s">
        <v>1124</v>
      </c>
      <c r="IT976" s="0" t="s">
        <v>1124</v>
      </c>
      <c r="IU976" s="0" t="s">
        <v>1124</v>
      </c>
      <c r="IV976" s="0" t="s">
        <v>1124</v>
      </c>
      <c r="IW976" s="0" t="s">
        <v>1124</v>
      </c>
      <c r="IX976" s="0" t="s">
        <v>1124</v>
      </c>
      <c r="IY976" s="0" t="s">
        <v>1124</v>
      </c>
      <c r="IZ976" s="0" t="s">
        <v>1124</v>
      </c>
      <c r="JA976" s="0" t="s">
        <v>1124</v>
      </c>
      <c r="JB976" s="0" t="s">
        <v>1124</v>
      </c>
      <c r="JC976" s="0" t="s">
        <v>1124</v>
      </c>
      <c r="JD976" s="0" t="s">
        <v>1124</v>
      </c>
      <c r="JE976" s="0" t="s">
        <v>1124</v>
      </c>
      <c r="JF976" s="0" t="s">
        <v>1124</v>
      </c>
      <c r="JG976" s="0" t="s">
        <v>1124</v>
      </c>
      <c r="JH976" s="0" t="s">
        <v>1124</v>
      </c>
      <c r="JI976" s="0" t="s">
        <v>1124</v>
      </c>
      <c r="JJ976" s="0" t="s">
        <v>1124</v>
      </c>
      <c r="JK976" s="0" t="s">
        <v>1124</v>
      </c>
      <c r="JL976" s="0" t="s">
        <v>1124</v>
      </c>
      <c r="JM976" s="0" t="s">
        <v>1124</v>
      </c>
      <c r="JN976" s="0" t="s">
        <v>1124</v>
      </c>
      <c r="JO976" s="0" t="s">
        <v>1124</v>
      </c>
      <c r="JP976" s="0" t="s">
        <v>1124</v>
      </c>
      <c r="JQ976" s="0" t="s">
        <v>1124</v>
      </c>
      <c r="JR976" s="0" t="s">
        <v>1124</v>
      </c>
      <c r="JS976" s="0" t="s">
        <v>1124</v>
      </c>
      <c r="JT976" s="0" t="s">
        <v>1124</v>
      </c>
      <c r="JU976" s="0" t="s">
        <v>1124</v>
      </c>
      <c r="JV976" s="0" t="s">
        <v>1124</v>
      </c>
      <c r="JW976" s="0" t="s">
        <v>1124</v>
      </c>
      <c r="JX976" s="0" t="s">
        <v>1124</v>
      </c>
      <c r="JY976" s="0" t="s">
        <v>1124</v>
      </c>
      <c r="JZ976" s="0" t="s">
        <v>1124</v>
      </c>
      <c r="KA976" s="0" t="s">
        <v>1124</v>
      </c>
      <c r="KB976" s="0" t="s">
        <v>1124</v>
      </c>
      <c r="KC976" s="0" t="s">
        <v>1124</v>
      </c>
      <c r="KD976" s="0" t="s">
        <v>1124</v>
      </c>
      <c r="KE976" s="0" t="s">
        <v>1124</v>
      </c>
      <c r="KF976" s="0" t="s">
        <v>1124</v>
      </c>
      <c r="KG976" s="0" t="s">
        <v>1124</v>
      </c>
      <c r="KH976" s="0" t="s">
        <v>1124</v>
      </c>
      <c r="KI976" s="0" t="s">
        <v>1124</v>
      </c>
      <c r="KJ976" s="0" t="s">
        <v>1124</v>
      </c>
      <c r="KK976" s="0" t="s">
        <v>1124</v>
      </c>
      <c r="KL976" s="0" t="s">
        <v>1124</v>
      </c>
      <c r="KM976" s="0" t="s">
        <v>1124</v>
      </c>
      <c r="KN976" s="0" t="s">
        <v>1124</v>
      </c>
      <c r="KO976" s="0" t="s">
        <v>1124</v>
      </c>
      <c r="KP976" s="0" t="s">
        <v>1124</v>
      </c>
      <c r="KQ976" s="0" t="s">
        <v>1124</v>
      </c>
      <c r="KR976" s="0" t="s">
        <v>1124</v>
      </c>
      <c r="KS976" s="0" t="s">
        <v>1124</v>
      </c>
      <c r="KT976" s="0" t="s">
        <v>1124</v>
      </c>
      <c r="KU976" s="0" t="s">
        <v>1124</v>
      </c>
      <c r="KV976" s="0" t="s">
        <v>1124</v>
      </c>
      <c r="KW976" s="0" t="s">
        <v>1124</v>
      </c>
      <c r="KX976" s="0" t="s">
        <v>1124</v>
      </c>
      <c r="KY976" s="0" t="s">
        <v>1124</v>
      </c>
      <c r="KZ976" s="0" t="s">
        <v>1124</v>
      </c>
      <c r="LA976" s="0" t="s">
        <v>1124</v>
      </c>
      <c r="LB976" s="0" t="s">
        <v>1124</v>
      </c>
      <c r="LC976" s="0" t="s">
        <v>1124</v>
      </c>
      <c r="LD976" s="0" t="s">
        <v>1124</v>
      </c>
      <c r="LE976" s="0" t="s">
        <v>1124</v>
      </c>
      <c r="LF976" s="0" t="s">
        <v>1124</v>
      </c>
      <c r="LG976" s="0" t="s">
        <v>1124</v>
      </c>
      <c r="LH976" s="0" t="s">
        <v>1124</v>
      </c>
      <c r="LI976" s="0" t="s">
        <v>1124</v>
      </c>
      <c r="LJ976" s="0" t="s">
        <v>1124</v>
      </c>
      <c r="LK976" s="0" t="s">
        <v>1124</v>
      </c>
      <c r="LL976" s="0" t="s">
        <v>1124</v>
      </c>
      <c r="LM976" s="0" t="s">
        <v>1124</v>
      </c>
      <c r="LN976" s="0" t="s">
        <v>1124</v>
      </c>
      <c r="LO976" s="0" t="s">
        <v>1124</v>
      </c>
      <c r="LP976" s="0" t="s">
        <v>1124</v>
      </c>
      <c r="LQ976" s="0" t="s">
        <v>1124</v>
      </c>
      <c r="LR976" s="0" t="s">
        <v>1124</v>
      </c>
      <c r="LS976" s="0" t="s">
        <v>1124</v>
      </c>
      <c r="LT976" s="0" t="s">
        <v>1124</v>
      </c>
      <c r="LU976" s="0" t="s">
        <v>1124</v>
      </c>
      <c r="LV976" s="0" t="s">
        <v>1124</v>
      </c>
      <c r="LW976" s="0" t="s">
        <v>1124</v>
      </c>
      <c r="LX976" s="0" t="s">
        <v>1124</v>
      </c>
      <c r="LY976" s="0" t="s">
        <v>1124</v>
      </c>
      <c r="LZ976" s="0" t="s">
        <v>1124</v>
      </c>
      <c r="MA976" s="0" t="s">
        <v>1124</v>
      </c>
      <c r="MB976" s="0" t="s">
        <v>1124</v>
      </c>
      <c r="MC976" s="0" t="s">
        <v>1124</v>
      </c>
      <c r="MD976" s="0" t="s">
        <v>1124</v>
      </c>
      <c r="ME976" s="0" t="s">
        <v>1124</v>
      </c>
      <c r="MF976" s="0" t="s">
        <v>1124</v>
      </c>
      <c r="MG976" s="0" t="s">
        <v>1124</v>
      </c>
      <c r="MH976" s="0" t="s">
        <v>1124</v>
      </c>
      <c r="MI976" s="0" t="s">
        <v>1124</v>
      </c>
      <c r="MJ976" s="0" t="s">
        <v>1124</v>
      </c>
      <c r="MK976" s="0" t="s">
        <v>1124</v>
      </c>
      <c r="ML976" s="0" t="s">
        <v>1124</v>
      </c>
      <c r="MM976" s="0" t="s">
        <v>1124</v>
      </c>
      <c r="MN976" s="0" t="s">
        <v>1124</v>
      </c>
      <c r="MO976" s="0" t="s">
        <v>1124</v>
      </c>
      <c r="MP976" s="0" t="s">
        <v>1124</v>
      </c>
      <c r="MQ976" s="0" t="s">
        <v>1124</v>
      </c>
      <c r="MR976" s="0" t="s">
        <v>1124</v>
      </c>
      <c r="MS976" s="0" t="s">
        <v>1124</v>
      </c>
      <c r="MT976" s="0" t="s">
        <v>1124</v>
      </c>
      <c r="MU976" s="0" t="s">
        <v>1124</v>
      </c>
      <c r="MV976" s="0" t="s">
        <v>1124</v>
      </c>
      <c r="MW976" s="0" t="s">
        <v>1124</v>
      </c>
      <c r="MX976" s="0" t="s">
        <v>1124</v>
      </c>
      <c r="MY976" s="0" t="s">
        <v>1124</v>
      </c>
      <c r="MZ976" s="0" t="s">
        <v>1124</v>
      </c>
      <c r="NA976" s="0" t="s">
        <v>1124</v>
      </c>
      <c r="NB976" s="0" t="s">
        <v>1124</v>
      </c>
      <c r="NC976" s="0" t="s">
        <v>1124</v>
      </c>
      <c r="ND976" s="0" t="s">
        <v>1124</v>
      </c>
      <c r="NE976" s="0" t="s">
        <v>1124</v>
      </c>
      <c r="NF976" s="0" t="s">
        <v>1124</v>
      </c>
      <c r="NG976" s="0" t="s">
        <v>1124</v>
      </c>
      <c r="NH976" s="0" t="s">
        <v>1124</v>
      </c>
      <c r="NI976" s="0" t="s">
        <v>1124</v>
      </c>
      <c r="NJ976" s="0" t="s">
        <v>1124</v>
      </c>
      <c r="NK976" s="0" t="s">
        <v>1124</v>
      </c>
      <c r="NL976" s="0" t="s">
        <v>1124</v>
      </c>
      <c r="NM976" s="0" t="s">
        <v>1124</v>
      </c>
      <c r="NN976" s="0" t="s">
        <v>1124</v>
      </c>
      <c r="NO976" s="0" t="s">
        <v>1124</v>
      </c>
      <c r="NP976" s="0" t="s">
        <v>1124</v>
      </c>
      <c r="NQ976" s="0" t="s">
        <v>1124</v>
      </c>
      <c r="NR976" s="0" t="s">
        <v>1124</v>
      </c>
      <c r="NS976" s="0" t="s">
        <v>1124</v>
      </c>
      <c r="NT976" s="0" t="s">
        <v>1124</v>
      </c>
      <c r="NU976" s="0" t="s">
        <v>1124</v>
      </c>
      <c r="NV976" s="0" t="s">
        <v>1124</v>
      </c>
      <c r="NW976" s="0" t="s">
        <v>1124</v>
      </c>
      <c r="NX976" s="0" t="s">
        <v>1124</v>
      </c>
      <c r="NY976" s="0" t="s">
        <v>1124</v>
      </c>
      <c r="NZ976" s="0" t="s">
        <v>1124</v>
      </c>
      <c r="OA976" s="0" t="s">
        <v>1124</v>
      </c>
      <c r="OB976" s="0" t="s">
        <v>1124</v>
      </c>
      <c r="OC976" s="0" t="s">
        <v>1124</v>
      </c>
      <c r="OD976" s="0" t="s">
        <v>1124</v>
      </c>
      <c r="OE976" s="0" t="s">
        <v>1124</v>
      </c>
      <c r="OF976" s="0" t="s">
        <v>1124</v>
      </c>
      <c r="OG976" s="0" t="s">
        <v>1124</v>
      </c>
      <c r="OH976" s="0" t="s">
        <v>1124</v>
      </c>
      <c r="OI976" s="0" t="s">
        <v>1124</v>
      </c>
      <c r="OJ976" s="0" t="s">
        <v>1124</v>
      </c>
      <c r="OK976" s="0" t="s">
        <v>1124</v>
      </c>
      <c r="OL976" s="0" t="s">
        <v>1124</v>
      </c>
      <c r="OM976" s="0" t="s">
        <v>1124</v>
      </c>
      <c r="ON976" s="0" t="s">
        <v>1124</v>
      </c>
      <c r="OO976" s="0" t="s">
        <v>1124</v>
      </c>
      <c r="OP976" s="0" t="s">
        <v>1124</v>
      </c>
      <c r="OQ976" s="0" t="s">
        <v>1124</v>
      </c>
      <c r="OR976" s="0" t="s">
        <v>1124</v>
      </c>
      <c r="OS976" s="0" t="s">
        <v>1124</v>
      </c>
      <c r="OT976" s="0" t="s">
        <v>1124</v>
      </c>
      <c r="OU976" s="0" t="s">
        <v>1124</v>
      </c>
      <c r="OV976" s="0" t="s">
        <v>1124</v>
      </c>
      <c r="OW976" s="0" t="s">
        <v>1124</v>
      </c>
      <c r="OX976" s="0" t="s">
        <v>1124</v>
      </c>
      <c r="OY976" s="0" t="s">
        <v>1124</v>
      </c>
      <c r="OZ976" s="0" t="s">
        <v>1124</v>
      </c>
      <c r="PA976" s="0" t="s">
        <v>1124</v>
      </c>
      <c r="PB976" s="0" t="s">
        <v>1124</v>
      </c>
      <c r="PC976" s="0" t="s">
        <v>1124</v>
      </c>
      <c r="PD976" s="0" t="s">
        <v>1124</v>
      </c>
      <c r="PE976" s="0" t="s">
        <v>1124</v>
      </c>
      <c r="PF976" s="0" t="s">
        <v>1124</v>
      </c>
      <c r="PG976" s="0" t="s">
        <v>1124</v>
      </c>
      <c r="PH976" s="0" t="s">
        <v>1124</v>
      </c>
      <c r="PI976" s="0" t="s">
        <v>1124</v>
      </c>
      <c r="PJ976" s="0" t="s">
        <v>1124</v>
      </c>
      <c r="PK976" s="0" t="s">
        <v>1124</v>
      </c>
      <c r="PL976" s="0" t="s">
        <v>1124</v>
      </c>
      <c r="PM976" s="0" t="s">
        <v>1124</v>
      </c>
      <c r="PN976" s="0" t="s">
        <v>1124</v>
      </c>
      <c r="PO976" s="0" t="s">
        <v>1124</v>
      </c>
      <c r="PP976" s="0" t="s">
        <v>1124</v>
      </c>
      <c r="PQ976" s="0" t="s">
        <v>1124</v>
      </c>
      <c r="PR976" s="0" t="s">
        <v>1124</v>
      </c>
      <c r="PS976" s="0" t="s">
        <v>1124</v>
      </c>
      <c r="PT976" s="0" t="s">
        <v>1124</v>
      </c>
      <c r="PU976" s="0" t="s">
        <v>1124</v>
      </c>
      <c r="PV976" s="0" t="s">
        <v>1124</v>
      </c>
      <c r="PW976" s="0" t="s">
        <v>1124</v>
      </c>
      <c r="PX976" s="0" t="s">
        <v>1124</v>
      </c>
      <c r="PY976" s="0" t="s">
        <v>1124</v>
      </c>
      <c r="PZ976" s="0" t="s">
        <v>1124</v>
      </c>
      <c r="QA976" s="0" t="s">
        <v>1124</v>
      </c>
      <c r="QB976" s="0" t="s">
        <v>1124</v>
      </c>
      <c r="QC976" s="0" t="s">
        <v>1124</v>
      </c>
      <c r="QD976" s="0" t="s">
        <v>1124</v>
      </c>
      <c r="QE976" s="0" t="s">
        <v>1124</v>
      </c>
      <c r="QF976" s="0" t="s">
        <v>1124</v>
      </c>
      <c r="QG976" s="0" t="s">
        <v>1124</v>
      </c>
      <c r="QH976" s="0" t="s">
        <v>1124</v>
      </c>
      <c r="QI976" s="0" t="s">
        <v>1124</v>
      </c>
      <c r="QJ976" s="0" t="s">
        <v>1124</v>
      </c>
      <c r="QK976" s="0" t="s">
        <v>1124</v>
      </c>
      <c r="QL976" s="0" t="s">
        <v>1124</v>
      </c>
      <c r="QM976" s="0" t="s">
        <v>1124</v>
      </c>
      <c r="QN976" s="0" t="s">
        <v>1124</v>
      </c>
      <c r="QO976" s="0" t="s">
        <v>1124</v>
      </c>
      <c r="QP976" s="0" t="s">
        <v>1124</v>
      </c>
      <c r="QQ976" s="0" t="s">
        <v>1124</v>
      </c>
      <c r="QR976" s="0" t="s">
        <v>1124</v>
      </c>
      <c r="QS976" s="0" t="s">
        <v>1124</v>
      </c>
      <c r="QT976" s="0" t="s">
        <v>1124</v>
      </c>
      <c r="QU976" s="0" t="s">
        <v>1124</v>
      </c>
      <c r="QV976" s="0" t="s">
        <v>1124</v>
      </c>
      <c r="QW976" s="0" t="s">
        <v>1124</v>
      </c>
      <c r="QX976" s="0" t="s">
        <v>1124</v>
      </c>
      <c r="QY976" s="0" t="s">
        <v>1124</v>
      </c>
      <c r="QZ976" s="0" t="s">
        <v>1124</v>
      </c>
      <c r="RA976" s="0" t="s">
        <v>1124</v>
      </c>
      <c r="RB976" s="0" t="s">
        <v>1124</v>
      </c>
      <c r="RC976" s="0" t="s">
        <v>1124</v>
      </c>
      <c r="RD976" s="0" t="s">
        <v>1124</v>
      </c>
      <c r="RE976" s="0" t="s">
        <v>1124</v>
      </c>
      <c r="RF976" s="0" t="s">
        <v>1124</v>
      </c>
      <c r="RG976" s="0" t="s">
        <v>1124</v>
      </c>
      <c r="RH976" s="0" t="s">
        <v>1124</v>
      </c>
      <c r="RI976" s="0" t="s">
        <v>1124</v>
      </c>
      <c r="RJ976" s="0" t="s">
        <v>1124</v>
      </c>
      <c r="RK976" s="0" t="s">
        <v>1124</v>
      </c>
      <c r="RL976" s="0" t="s">
        <v>1124</v>
      </c>
      <c r="RM976" s="0" t="s">
        <v>1124</v>
      </c>
      <c r="RN976" s="0" t="s">
        <v>1124</v>
      </c>
      <c r="RO976" s="0" t="s">
        <v>1124</v>
      </c>
      <c r="RP976" s="0" t="s">
        <v>1124</v>
      </c>
      <c r="RQ976" s="0" t="s">
        <v>1124</v>
      </c>
      <c r="RR976" s="0" t="s">
        <v>1124</v>
      </c>
      <c r="RS976" s="0" t="s">
        <v>1124</v>
      </c>
      <c r="RT976" s="0" t="s">
        <v>1124</v>
      </c>
      <c r="RU976" s="0" t="s">
        <v>1124</v>
      </c>
      <c r="RV976" s="0" t="s">
        <v>1124</v>
      </c>
      <c r="RW976" s="0" t="s">
        <v>1124</v>
      </c>
      <c r="RX976" s="0" t="s">
        <v>1124</v>
      </c>
      <c r="RY976" s="0" t="s">
        <v>1124</v>
      </c>
      <c r="RZ976" s="0" t="s">
        <v>1124</v>
      </c>
      <c r="SA976" s="0" t="s">
        <v>1124</v>
      </c>
      <c r="SB976" s="0" t="s">
        <v>1124</v>
      </c>
      <c r="SC976" s="0" t="s">
        <v>1124</v>
      </c>
      <c r="SD976" s="0" t="s">
        <v>1124</v>
      </c>
      <c r="SE976" s="0" t="s">
        <v>1124</v>
      </c>
      <c r="SF976" s="0" t="s">
        <v>1124</v>
      </c>
      <c r="SG976" s="0" t="s">
        <v>1124</v>
      </c>
      <c r="SH976" s="0" t="s">
        <v>1124</v>
      </c>
      <c r="SI976" s="0" t="s">
        <v>1124</v>
      </c>
      <c r="SJ976" s="0" t="s">
        <v>1124</v>
      </c>
      <c r="SK976" s="0" t="s">
        <v>1124</v>
      </c>
      <c r="SL976" s="0" t="s">
        <v>1124</v>
      </c>
      <c r="SM976" s="0" t="s">
        <v>1124</v>
      </c>
      <c r="SN976" s="0" t="s">
        <v>1124</v>
      </c>
      <c r="SO976" s="0" t="s">
        <v>1124</v>
      </c>
      <c r="SP976" s="0" t="s">
        <v>1124</v>
      </c>
      <c r="SQ976" s="0" t="s">
        <v>1124</v>
      </c>
      <c r="SR976" s="0" t="s">
        <v>1124</v>
      </c>
      <c r="SS976" s="0" t="s">
        <v>1124</v>
      </c>
      <c r="ST976" s="0" t="s">
        <v>1124</v>
      </c>
      <c r="SU976" s="0" t="s">
        <v>1124</v>
      </c>
      <c r="SV976" s="0" t="s">
        <v>1124</v>
      </c>
      <c r="SW976" s="0" t="s">
        <v>1124</v>
      </c>
      <c r="SX976" s="0" t="s">
        <v>1124</v>
      </c>
      <c r="SY976" s="0" t="s">
        <v>1124</v>
      </c>
      <c r="SZ976" s="0" t="s">
        <v>1124</v>
      </c>
      <c r="TA976" s="0" t="s">
        <v>1124</v>
      </c>
      <c r="TB976" s="0" t="s">
        <v>1124</v>
      </c>
      <c r="TC976" s="0" t="s">
        <v>1124</v>
      </c>
      <c r="TD976" s="0" t="s">
        <v>1124</v>
      </c>
      <c r="TE976" s="0" t="s">
        <v>1124</v>
      </c>
      <c r="TF976" s="0" t="s">
        <v>1124</v>
      </c>
      <c r="TG976" s="0" t="s">
        <v>1124</v>
      </c>
      <c r="TH976" s="0" t="s">
        <v>1124</v>
      </c>
      <c r="TI976" s="0" t="s">
        <v>1124</v>
      </c>
      <c r="TJ976" s="0" t="s">
        <v>1124</v>
      </c>
      <c r="TK976" s="0" t="s">
        <v>1124</v>
      </c>
      <c r="TL976" s="0" t="s">
        <v>1124</v>
      </c>
      <c r="TM976" s="0" t="s">
        <v>1124</v>
      </c>
      <c r="TN976" s="0" t="s">
        <v>1124</v>
      </c>
      <c r="TO976" s="0" t="s">
        <v>1124</v>
      </c>
      <c r="TP976" s="0" t="s">
        <v>1124</v>
      </c>
      <c r="TQ976" s="0" t="s">
        <v>1124</v>
      </c>
      <c r="TR976" s="0" t="s">
        <v>1124</v>
      </c>
      <c r="TS976" s="0" t="s">
        <v>1124</v>
      </c>
      <c r="TT976" s="0" t="s">
        <v>1124</v>
      </c>
      <c r="TU976" s="0" t="s">
        <v>1124</v>
      </c>
      <c r="TV976" s="0" t="s">
        <v>1124</v>
      </c>
      <c r="TW976" s="0" t="s">
        <v>1124</v>
      </c>
      <c r="TX976" s="0" t="s">
        <v>1124</v>
      </c>
      <c r="TY976" s="0" t="s">
        <v>1124</v>
      </c>
      <c r="TZ976" s="0" t="s">
        <v>1124</v>
      </c>
      <c r="UA976" s="0" t="s">
        <v>1124</v>
      </c>
      <c r="UB976" s="0" t="s">
        <v>1124</v>
      </c>
      <c r="UC976" s="0" t="s">
        <v>1124</v>
      </c>
      <c r="UD976" s="0" t="s">
        <v>1124</v>
      </c>
      <c r="UE976" s="0" t="s">
        <v>1124</v>
      </c>
      <c r="UF976" s="0" t="s">
        <v>1124</v>
      </c>
      <c r="UG976" s="0" t="s">
        <v>1124</v>
      </c>
      <c r="UH976" s="0" t="s">
        <v>1124</v>
      </c>
      <c r="UI976" s="0" t="s">
        <v>1124</v>
      </c>
      <c r="UJ976" s="0" t="s">
        <v>1124</v>
      </c>
      <c r="UK976" s="0" t="s">
        <v>1124</v>
      </c>
      <c r="UL976" s="0" t="s">
        <v>1124</v>
      </c>
      <c r="UM976" s="0" t="s">
        <v>1124</v>
      </c>
      <c r="UN976" s="0" t="s">
        <v>1124</v>
      </c>
      <c r="UO976" s="0" t="s">
        <v>1124</v>
      </c>
      <c r="UP976" s="0" t="s">
        <v>1124</v>
      </c>
      <c r="UQ976" s="0" t="s">
        <v>1124</v>
      </c>
      <c r="UR976" s="0" t="s">
        <v>1124</v>
      </c>
      <c r="US976" s="0" t="s">
        <v>1124</v>
      </c>
      <c r="UT976" s="0" t="s">
        <v>1124</v>
      </c>
      <c r="UU976" s="0" t="s">
        <v>1124</v>
      </c>
      <c r="UV976" s="0" t="s">
        <v>1124</v>
      </c>
      <c r="UW976" s="0" t="s">
        <v>1124</v>
      </c>
      <c r="UX976" s="0" t="s">
        <v>1124</v>
      </c>
      <c r="UY976" s="0" t="s">
        <v>1124</v>
      </c>
      <c r="UZ976" s="0" t="s">
        <v>1124</v>
      </c>
      <c r="VA976" s="0" t="s">
        <v>1124</v>
      </c>
      <c r="VB976" s="0" t="s">
        <v>1124</v>
      </c>
      <c r="VC976" s="0" t="s">
        <v>1124</v>
      </c>
      <c r="VD976" s="0" t="s">
        <v>1124</v>
      </c>
      <c r="VE976" s="0" t="s">
        <v>1124</v>
      </c>
      <c r="VF976" s="0" t="s">
        <v>1124</v>
      </c>
      <c r="VG976" s="0" t="s">
        <v>1124</v>
      </c>
      <c r="VH976" s="0" t="s">
        <v>1124</v>
      </c>
      <c r="VI976" s="0" t="s">
        <v>1124</v>
      </c>
      <c r="VJ976" s="0" t="s">
        <v>1124</v>
      </c>
      <c r="VK976" s="0" t="s">
        <v>1124</v>
      </c>
      <c r="VL976" s="0" t="s">
        <v>1124</v>
      </c>
      <c r="VM976" s="0" t="s">
        <v>1124</v>
      </c>
      <c r="VN976" s="0" t="s">
        <v>1124</v>
      </c>
      <c r="VO976" s="0" t="s">
        <v>1124</v>
      </c>
      <c r="VP976" s="0" t="s">
        <v>1124</v>
      </c>
      <c r="VQ976" s="0" t="s">
        <v>1124</v>
      </c>
      <c r="VR976" s="0" t="s">
        <v>1124</v>
      </c>
      <c r="VS976" s="0" t="s">
        <v>1124</v>
      </c>
      <c r="VT976" s="0" t="s">
        <v>1124</v>
      </c>
      <c r="VU976" s="0" t="s">
        <v>1124</v>
      </c>
      <c r="VV976" s="0" t="s">
        <v>1124</v>
      </c>
      <c r="VW976" s="0" t="s">
        <v>1124</v>
      </c>
      <c r="VX976" s="0" t="s">
        <v>1124</v>
      </c>
      <c r="VY976" s="0" t="s">
        <v>1124</v>
      </c>
      <c r="VZ976" s="0" t="s">
        <v>1124</v>
      </c>
      <c r="WA976" s="0" t="s">
        <v>1124</v>
      </c>
      <c r="WB976" s="0" t="s">
        <v>1124</v>
      </c>
      <c r="WC976" s="0" t="s">
        <v>1124</v>
      </c>
      <c r="WD976" s="0" t="s">
        <v>1124</v>
      </c>
      <c r="WE976" s="0" t="s">
        <v>1124</v>
      </c>
      <c r="WF976" s="0" t="s">
        <v>1124</v>
      </c>
      <c r="WG976" s="0" t="s">
        <v>1124</v>
      </c>
      <c r="WH976" s="0" t="s">
        <v>1124</v>
      </c>
      <c r="WI976" s="0" t="s">
        <v>1124</v>
      </c>
      <c r="WJ976" s="0" t="s">
        <v>1124</v>
      </c>
      <c r="WK976" s="0" t="s">
        <v>1124</v>
      </c>
      <c r="WL976" s="0" t="s">
        <v>1124</v>
      </c>
      <c r="WM976" s="0" t="s">
        <v>1124</v>
      </c>
      <c r="WN976" s="0" t="s">
        <v>1124</v>
      </c>
      <c r="WO976" s="0" t="s">
        <v>1124</v>
      </c>
      <c r="WP976" s="0" t="s">
        <v>1124</v>
      </c>
      <c r="WQ976" s="0" t="s">
        <v>1124</v>
      </c>
      <c r="WR976" s="0" t="s">
        <v>1124</v>
      </c>
      <c r="WS976" s="0" t="s">
        <v>1124</v>
      </c>
      <c r="WT976" s="0" t="s">
        <v>1124</v>
      </c>
      <c r="WU976" s="0" t="s">
        <v>1124</v>
      </c>
      <c r="WV976" s="0" t="s">
        <v>1124</v>
      </c>
      <c r="WW976" s="0" t="s">
        <v>1124</v>
      </c>
      <c r="WX976" s="0" t="s">
        <v>1124</v>
      </c>
      <c r="WY976" s="0" t="s">
        <v>1124</v>
      </c>
      <c r="WZ976" s="0" t="s">
        <v>1124</v>
      </c>
      <c r="XA976" s="0" t="s">
        <v>1124</v>
      </c>
      <c r="XB976" s="0" t="s">
        <v>1124</v>
      </c>
      <c r="XC976" s="0" t="s">
        <v>1124</v>
      </c>
      <c r="XD976" s="0" t="s">
        <v>1124</v>
      </c>
      <c r="XE976" s="0" t="s">
        <v>1124</v>
      </c>
      <c r="XF976" s="0" t="s">
        <v>1124</v>
      </c>
      <c r="XG976" s="0" t="s">
        <v>1124</v>
      </c>
      <c r="XH976" s="0" t="s">
        <v>1124</v>
      </c>
      <c r="XI976" s="0" t="s">
        <v>1124</v>
      </c>
      <c r="XJ976" s="0" t="s">
        <v>1124</v>
      </c>
      <c r="XK976" s="0" t="s">
        <v>1124</v>
      </c>
      <c r="XL976" s="0" t="s">
        <v>1124</v>
      </c>
      <c r="XM976" s="0" t="s">
        <v>1124</v>
      </c>
      <c r="XN976" s="0" t="s">
        <v>1124</v>
      </c>
      <c r="XO976" s="0" t="s">
        <v>1124</v>
      </c>
      <c r="XP976" s="0" t="s">
        <v>1124</v>
      </c>
      <c r="XQ976" s="0" t="s">
        <v>1124</v>
      </c>
      <c r="XR976" s="0" t="s">
        <v>1124</v>
      </c>
      <c r="XS976" s="0" t="s">
        <v>1124</v>
      </c>
      <c r="XT976" s="0" t="s">
        <v>1124</v>
      </c>
      <c r="XU976" s="0" t="s">
        <v>1124</v>
      </c>
      <c r="XV976" s="0" t="s">
        <v>1124</v>
      </c>
      <c r="XW976" s="0" t="s">
        <v>1124</v>
      </c>
      <c r="XX976" s="0" t="s">
        <v>1124</v>
      </c>
      <c r="XY976" s="0" t="s">
        <v>1124</v>
      </c>
      <c r="XZ976" s="0" t="s">
        <v>1124</v>
      </c>
      <c r="YA976" s="0" t="s">
        <v>1124</v>
      </c>
      <c r="YB976" s="0" t="s">
        <v>1124</v>
      </c>
      <c r="YC976" s="0" t="s">
        <v>1124</v>
      </c>
      <c r="YD976" s="0" t="s">
        <v>1124</v>
      </c>
      <c r="YE976" s="0" t="s">
        <v>1124</v>
      </c>
      <c r="YF976" s="0" t="s">
        <v>1124</v>
      </c>
      <c r="YG976" s="0" t="s">
        <v>1124</v>
      </c>
      <c r="YH976" s="0" t="s">
        <v>1124</v>
      </c>
      <c r="YI976" s="0" t="s">
        <v>1124</v>
      </c>
      <c r="YJ976" s="0" t="s">
        <v>1124</v>
      </c>
      <c r="YK976" s="0" t="s">
        <v>1124</v>
      </c>
      <c r="YL976" s="0" t="s">
        <v>1124</v>
      </c>
      <c r="YM976" s="0" t="s">
        <v>1124</v>
      </c>
      <c r="YN976" s="0" t="s">
        <v>1124</v>
      </c>
      <c r="YO976" s="0" t="s">
        <v>1124</v>
      </c>
      <c r="YP976" s="0" t="s">
        <v>1124</v>
      </c>
      <c r="YQ976" s="0" t="s">
        <v>1124</v>
      </c>
      <c r="YR976" s="0" t="s">
        <v>1124</v>
      </c>
      <c r="YS976" s="0" t="s">
        <v>1124</v>
      </c>
      <c r="YT976" s="0" t="s">
        <v>1124</v>
      </c>
      <c r="YU976" s="0" t="s">
        <v>1124</v>
      </c>
      <c r="YV976" s="0" t="s">
        <v>1124</v>
      </c>
      <c r="YW976" s="0" t="s">
        <v>1124</v>
      </c>
      <c r="YX976" s="0" t="s">
        <v>1124</v>
      </c>
      <c r="YY976" s="0" t="s">
        <v>1124</v>
      </c>
      <c r="YZ976" s="0" t="s">
        <v>1124</v>
      </c>
      <c r="ZA976" s="0" t="s">
        <v>1124</v>
      </c>
      <c r="ZB976" s="0" t="s">
        <v>1124</v>
      </c>
      <c r="ZC976" s="0" t="s">
        <v>1124</v>
      </c>
      <c r="ZD976" s="0" t="s">
        <v>1124</v>
      </c>
      <c r="ZE976" s="0" t="s">
        <v>1124</v>
      </c>
      <c r="ZF976" s="0" t="s">
        <v>1124</v>
      </c>
      <c r="ZG976" s="0" t="s">
        <v>1124</v>
      </c>
      <c r="ZH976" s="0" t="s">
        <v>1124</v>
      </c>
      <c r="ZI976" s="0" t="s">
        <v>1124</v>
      </c>
      <c r="ZJ976" s="0" t="s">
        <v>1124</v>
      </c>
      <c r="ZK976" s="0" t="s">
        <v>1124</v>
      </c>
      <c r="ZL976" s="0" t="s">
        <v>1124</v>
      </c>
      <c r="ZM976" s="0" t="s">
        <v>1124</v>
      </c>
      <c r="ZN976" s="0" t="s">
        <v>1124</v>
      </c>
      <c r="ZO976" s="0" t="s">
        <v>1124</v>
      </c>
      <c r="ZP976" s="0" t="s">
        <v>1124</v>
      </c>
      <c r="ZQ976" s="0" t="s">
        <v>1124</v>
      </c>
      <c r="ZR976" s="0" t="s">
        <v>1124</v>
      </c>
      <c r="ZS976" s="0" t="s">
        <v>1124</v>
      </c>
      <c r="ZT976" s="0" t="s">
        <v>1124</v>
      </c>
      <c r="ZU976" s="0" t="s">
        <v>1124</v>
      </c>
      <c r="ZV976" s="0" t="s">
        <v>1124</v>
      </c>
      <c r="ZW976" s="0" t="s">
        <v>1124</v>
      </c>
      <c r="ZX976" s="0" t="s">
        <v>1124</v>
      </c>
      <c r="ZY976" s="0" t="s">
        <v>1124</v>
      </c>
      <c r="ZZ976" s="0" t="s">
        <v>1124</v>
      </c>
      <c r="AAA976" s="0" t="s">
        <v>1124</v>
      </c>
      <c r="AAB976" s="0" t="s">
        <v>1124</v>
      </c>
      <c r="AAC976" s="0" t="s">
        <v>1124</v>
      </c>
      <c r="AAD976" s="0" t="s">
        <v>1124</v>
      </c>
      <c r="AAE976" s="0" t="s">
        <v>1124</v>
      </c>
      <c r="AAF976" s="0" t="s">
        <v>1124</v>
      </c>
      <c r="AAG976" s="0" t="s">
        <v>1124</v>
      </c>
      <c r="AAH976" s="0" t="s">
        <v>1124</v>
      </c>
      <c r="AAI976" s="0" t="s">
        <v>1124</v>
      </c>
      <c r="AAJ976" s="0" t="s">
        <v>1124</v>
      </c>
      <c r="AAK976" s="0" t="s">
        <v>1124</v>
      </c>
      <c r="AAL976" s="0" t="s">
        <v>1124</v>
      </c>
      <c r="AAM976" s="0" t="s">
        <v>1124</v>
      </c>
      <c r="AAN976" s="0" t="s">
        <v>1124</v>
      </c>
      <c r="AAO976" s="0" t="s">
        <v>1124</v>
      </c>
      <c r="AAP976" s="0" t="s">
        <v>1124</v>
      </c>
      <c r="AAQ976" s="0" t="s">
        <v>1124</v>
      </c>
      <c r="AAR976" s="0" t="s">
        <v>1124</v>
      </c>
      <c r="AAS976" s="0" t="s">
        <v>1124</v>
      </c>
      <c r="AAT976" s="0" t="s">
        <v>1124</v>
      </c>
      <c r="AAU976" s="0" t="s">
        <v>1124</v>
      </c>
      <c r="AAV976" s="0" t="s">
        <v>1124</v>
      </c>
      <c r="AAW976" s="0" t="s">
        <v>1124</v>
      </c>
      <c r="AAX976" s="0" t="s">
        <v>1124</v>
      </c>
      <c r="AAY976" s="0" t="s">
        <v>1124</v>
      </c>
      <c r="AAZ976" s="0" t="s">
        <v>1124</v>
      </c>
      <c r="ABA976" s="0" t="s">
        <v>1124</v>
      </c>
      <c r="ABB976" s="0" t="s">
        <v>1124</v>
      </c>
      <c r="ABC976" s="0" t="s">
        <v>1124</v>
      </c>
      <c r="ABD976" s="0" t="s">
        <v>1124</v>
      </c>
      <c r="ABE976" s="0" t="s">
        <v>1124</v>
      </c>
      <c r="ABF976" s="0" t="s">
        <v>1124</v>
      </c>
      <c r="ABG976" s="0" t="s">
        <v>1124</v>
      </c>
      <c r="ABH976" s="0" t="s">
        <v>1124</v>
      </c>
      <c r="ABI976" s="0" t="s">
        <v>1124</v>
      </c>
      <c r="ABJ976" s="0" t="s">
        <v>1124</v>
      </c>
      <c r="ABK976" s="0" t="s">
        <v>1124</v>
      </c>
      <c r="ABL976" s="0" t="s">
        <v>1124</v>
      </c>
      <c r="ABM976" s="0" t="s">
        <v>1124</v>
      </c>
      <c r="ABN976" s="0" t="s">
        <v>1124</v>
      </c>
      <c r="ABO976" s="0" t="s">
        <v>1124</v>
      </c>
      <c r="ABP976" s="0" t="s">
        <v>1124</v>
      </c>
      <c r="ABQ976" s="0" t="s">
        <v>1124</v>
      </c>
      <c r="ABR976" s="0" t="s">
        <v>1124</v>
      </c>
      <c r="ABS976" s="0" t="s">
        <v>1124</v>
      </c>
      <c r="ABT976" s="0" t="s">
        <v>1124</v>
      </c>
      <c r="ABU976" s="0" t="s">
        <v>1124</v>
      </c>
      <c r="ABV976" s="0" t="s">
        <v>1124</v>
      </c>
      <c r="ABW976" s="0" t="s">
        <v>1124</v>
      </c>
      <c r="ABX976" s="0" t="s">
        <v>1124</v>
      </c>
      <c r="ABY976" s="0" t="s">
        <v>1124</v>
      </c>
      <c r="ABZ976" s="0" t="s">
        <v>1124</v>
      </c>
      <c r="ACA976" s="0" t="s">
        <v>1124</v>
      </c>
      <c r="ACB976" s="0" t="s">
        <v>1124</v>
      </c>
      <c r="ACC976" s="0" t="s">
        <v>1124</v>
      </c>
      <c r="ACD976" s="0" t="s">
        <v>1124</v>
      </c>
      <c r="ACE976" s="0" t="s">
        <v>1124</v>
      </c>
      <c r="ACF976" s="0" t="s">
        <v>1124</v>
      </c>
      <c r="ACG976" s="0" t="s">
        <v>1124</v>
      </c>
      <c r="ACH976" s="0" t="s">
        <v>1124</v>
      </c>
      <c r="ACI976" s="0" t="s">
        <v>1124</v>
      </c>
      <c r="ACJ976" s="0" t="s">
        <v>1124</v>
      </c>
      <c r="ACK976" s="0" t="s">
        <v>1124</v>
      </c>
      <c r="ACL976" s="0" t="s">
        <v>1124</v>
      </c>
      <c r="ACM976" s="0" t="s">
        <v>1124</v>
      </c>
      <c r="ACN976" s="0" t="s">
        <v>1124</v>
      </c>
      <c r="ACO976" s="0" t="s">
        <v>1124</v>
      </c>
      <c r="ACP976" s="0" t="s">
        <v>1124</v>
      </c>
      <c r="ACQ976" s="0" t="s">
        <v>1124</v>
      </c>
      <c r="ACR976" s="0" t="s">
        <v>1124</v>
      </c>
      <c r="ACS976" s="0" t="s">
        <v>1124</v>
      </c>
      <c r="ACT976" s="0" t="s">
        <v>1124</v>
      </c>
      <c r="ACU976" s="0" t="s">
        <v>1124</v>
      </c>
      <c r="ACV976" s="0" t="s">
        <v>1124</v>
      </c>
      <c r="ACW976" s="0" t="s">
        <v>1124</v>
      </c>
      <c r="ACX976" s="0" t="s">
        <v>1124</v>
      </c>
      <c r="ACY976" s="0" t="s">
        <v>1124</v>
      </c>
      <c r="ACZ976" s="0" t="s">
        <v>1124</v>
      </c>
      <c r="ADA976" s="0" t="s">
        <v>1124</v>
      </c>
      <c r="ADB976" s="0" t="s">
        <v>1124</v>
      </c>
      <c r="ADC976" s="0" t="s">
        <v>1124</v>
      </c>
      <c r="ADD976" s="0" t="s">
        <v>1124</v>
      </c>
      <c r="ADE976" s="0" t="s">
        <v>1124</v>
      </c>
      <c r="ADF976" s="0" t="s">
        <v>1124</v>
      </c>
      <c r="ADG976" s="0" t="s">
        <v>1124</v>
      </c>
      <c r="ADH976" s="0" t="s">
        <v>1124</v>
      </c>
      <c r="ADI976" s="0" t="s">
        <v>1124</v>
      </c>
      <c r="ADJ976" s="0" t="s">
        <v>1124</v>
      </c>
      <c r="ADK976" s="0" t="s">
        <v>1124</v>
      </c>
      <c r="ADL976" s="0" t="s">
        <v>1124</v>
      </c>
      <c r="ADM976" s="0" t="s">
        <v>1124</v>
      </c>
      <c r="ADN976" s="0" t="s">
        <v>1124</v>
      </c>
      <c r="ADO976" s="0" t="s">
        <v>1124</v>
      </c>
      <c r="ADP976" s="0" t="s">
        <v>1124</v>
      </c>
      <c r="ADQ976" s="0" t="s">
        <v>1124</v>
      </c>
      <c r="ADR976" s="0" t="s">
        <v>1124</v>
      </c>
      <c r="ADS976" s="0" t="s">
        <v>1124</v>
      </c>
      <c r="ADT976" s="0" t="s">
        <v>1124</v>
      </c>
      <c r="ADU976" s="0" t="s">
        <v>1124</v>
      </c>
      <c r="ADV976" s="0" t="s">
        <v>1124</v>
      </c>
      <c r="ADW976" s="0" t="s">
        <v>1124</v>
      </c>
      <c r="ADX976" s="0" t="s">
        <v>1124</v>
      </c>
      <c r="ADY976" s="0" t="s">
        <v>1124</v>
      </c>
      <c r="ADZ976" s="0" t="s">
        <v>1124</v>
      </c>
      <c r="AEA976" s="0" t="s">
        <v>1124</v>
      </c>
      <c r="AEB976" s="0" t="s">
        <v>1124</v>
      </c>
      <c r="AEC976" s="0" t="s">
        <v>1124</v>
      </c>
      <c r="AED976" s="0" t="s">
        <v>1124</v>
      </c>
      <c r="AEE976" s="0" t="s">
        <v>1124</v>
      </c>
      <c r="AEF976" s="0" t="s">
        <v>1124</v>
      </c>
      <c r="AEG976" s="0" t="s">
        <v>1124</v>
      </c>
      <c r="AEH976" s="0" t="s">
        <v>1124</v>
      </c>
      <c r="AEI976" s="0" t="s">
        <v>1124</v>
      </c>
      <c r="AEJ976" s="0" t="s">
        <v>1124</v>
      </c>
      <c r="AEK976" s="0" t="s">
        <v>1124</v>
      </c>
      <c r="AEL976" s="0" t="s">
        <v>1124</v>
      </c>
      <c r="AEM976" s="0" t="s">
        <v>1124</v>
      </c>
      <c r="AEN976" s="0" t="s">
        <v>1124</v>
      </c>
      <c r="AEO976" s="0" t="s">
        <v>1124</v>
      </c>
      <c r="AEP976" s="0" t="s">
        <v>1124</v>
      </c>
      <c r="AEQ976" s="0" t="s">
        <v>1124</v>
      </c>
      <c r="AER976" s="0" t="s">
        <v>1124</v>
      </c>
      <c r="AES976" s="0" t="s">
        <v>1124</v>
      </c>
      <c r="AET976" s="0" t="s">
        <v>1124</v>
      </c>
      <c r="AEU976" s="0" t="s">
        <v>1124</v>
      </c>
      <c r="AEV976" s="0" t="s">
        <v>1124</v>
      </c>
      <c r="AEW976" s="0" t="s">
        <v>1124</v>
      </c>
      <c r="AEX976" s="0" t="s">
        <v>1124</v>
      </c>
      <c r="AEY976" s="0" t="s">
        <v>1124</v>
      </c>
      <c r="AEZ976" s="0" t="s">
        <v>1124</v>
      </c>
      <c r="AFA976" s="0" t="s">
        <v>1124</v>
      </c>
      <c r="AFB976" s="0" t="s">
        <v>1124</v>
      </c>
      <c r="AFC976" s="0" t="s">
        <v>1124</v>
      </c>
      <c r="AFD976" s="0" t="s">
        <v>1124</v>
      </c>
      <c r="AFE976" s="0" t="s">
        <v>1124</v>
      </c>
      <c r="AFF976" s="0" t="s">
        <v>1124</v>
      </c>
      <c r="AFG976" s="0" t="s">
        <v>1124</v>
      </c>
      <c r="AFH976" s="0" t="s">
        <v>1124</v>
      </c>
      <c r="AFI976" s="0" t="s">
        <v>1124</v>
      </c>
      <c r="AFJ976" s="0" t="s">
        <v>1124</v>
      </c>
      <c r="AFK976" s="0" t="s">
        <v>1124</v>
      </c>
      <c r="AFL976" s="0" t="s">
        <v>1124</v>
      </c>
      <c r="AFM976" s="0" t="s">
        <v>1124</v>
      </c>
      <c r="AFN976" s="0" t="s">
        <v>1124</v>
      </c>
      <c r="AFO976" s="0" t="s">
        <v>1124</v>
      </c>
      <c r="AFP976" s="0" t="s">
        <v>1124</v>
      </c>
      <c r="AFQ976" s="0" t="s">
        <v>1124</v>
      </c>
      <c r="AFR976" s="0" t="s">
        <v>1124</v>
      </c>
      <c r="AFS976" s="0" t="s">
        <v>1124</v>
      </c>
      <c r="AFT976" s="0" t="s">
        <v>1124</v>
      </c>
      <c r="AFU976" s="0" t="s">
        <v>1124</v>
      </c>
      <c r="AFV976" s="0" t="s">
        <v>1124</v>
      </c>
      <c r="AFW976" s="0" t="s">
        <v>1124</v>
      </c>
      <c r="AFX976" s="0" t="s">
        <v>1124</v>
      </c>
      <c r="AFY976" s="0" t="s">
        <v>1124</v>
      </c>
      <c r="AFZ976" s="0" t="s">
        <v>1124</v>
      </c>
      <c r="AGA976" s="0" t="s">
        <v>1124</v>
      </c>
      <c r="AGB976" s="0" t="s">
        <v>1124</v>
      </c>
      <c r="AGC976" s="0" t="s">
        <v>1124</v>
      </c>
      <c r="AGD976" s="0" t="s">
        <v>1124</v>
      </c>
      <c r="AGE976" s="0" t="s">
        <v>1124</v>
      </c>
      <c r="AGF976" s="0" t="s">
        <v>1124</v>
      </c>
      <c r="AGG976" s="0" t="s">
        <v>1124</v>
      </c>
      <c r="AGH976" s="0" t="s">
        <v>1124</v>
      </c>
      <c r="AGI976" s="0" t="s">
        <v>1124</v>
      </c>
      <c r="AGJ976" s="0" t="s">
        <v>1124</v>
      </c>
      <c r="AGK976" s="0" t="s">
        <v>1124</v>
      </c>
      <c r="AGL976" s="0" t="s">
        <v>1124</v>
      </c>
      <c r="AGM976" s="0" t="s">
        <v>1124</v>
      </c>
      <c r="AGN976" s="0" t="s">
        <v>1124</v>
      </c>
      <c r="AGO976" s="0" t="s">
        <v>1124</v>
      </c>
      <c r="AGP976" s="0" t="s">
        <v>1124</v>
      </c>
      <c r="AGQ976" s="0" t="s">
        <v>1124</v>
      </c>
      <c r="AGR976" s="0" t="s">
        <v>1124</v>
      </c>
      <c r="AGS976" s="0" t="s">
        <v>1124</v>
      </c>
      <c r="AGT976" s="0" t="s">
        <v>1124</v>
      </c>
      <c r="AGU976" s="0" t="s">
        <v>1124</v>
      </c>
      <c r="AGV976" s="0" t="s">
        <v>1124</v>
      </c>
      <c r="AGW976" s="0" t="s">
        <v>1124</v>
      </c>
      <c r="AGX976" s="0" t="s">
        <v>1124</v>
      </c>
      <c r="AGY976" s="0" t="s">
        <v>1124</v>
      </c>
      <c r="AGZ976" s="0" t="s">
        <v>1124</v>
      </c>
      <c r="AHA976" s="0" t="s">
        <v>1124</v>
      </c>
      <c r="AHB976" s="0" t="s">
        <v>1124</v>
      </c>
      <c r="AHC976" s="0" t="s">
        <v>1124</v>
      </c>
      <c r="AHD976" s="0" t="s">
        <v>1124</v>
      </c>
      <c r="AHE976" s="0" t="s">
        <v>1124</v>
      </c>
      <c r="AHF976" s="0" t="s">
        <v>1124</v>
      </c>
      <c r="AHG976" s="0" t="s">
        <v>1124</v>
      </c>
      <c r="AHH976" s="0" t="s">
        <v>1124</v>
      </c>
      <c r="AHI976" s="0" t="s">
        <v>1124</v>
      </c>
      <c r="AHJ976" s="0" t="s">
        <v>1124</v>
      </c>
      <c r="AHK976" s="0" t="s">
        <v>1124</v>
      </c>
      <c r="AHL976" s="0" t="s">
        <v>1124</v>
      </c>
      <c r="AHM976" s="0" t="s">
        <v>1124</v>
      </c>
      <c r="AHN976" s="0" t="s">
        <v>1124</v>
      </c>
      <c r="AHO976" s="0" t="s">
        <v>1124</v>
      </c>
      <c r="AHP976" s="0" t="s">
        <v>1124</v>
      </c>
      <c r="AHQ976" s="0" t="s">
        <v>1124</v>
      </c>
      <c r="AHR976" s="0" t="s">
        <v>1124</v>
      </c>
      <c r="AHS976" s="0" t="s">
        <v>1124</v>
      </c>
      <c r="AHT976" s="0" t="s">
        <v>1124</v>
      </c>
      <c r="AHU976" s="0" t="s">
        <v>1124</v>
      </c>
      <c r="AHV976" s="0" t="s">
        <v>1124</v>
      </c>
      <c r="AHW976" s="0" t="s">
        <v>1124</v>
      </c>
      <c r="AHX976" s="0" t="s">
        <v>1124</v>
      </c>
      <c r="AHY976" s="0" t="s">
        <v>1124</v>
      </c>
      <c r="AHZ976" s="0" t="s">
        <v>1124</v>
      </c>
      <c r="AIA976" s="0" t="s">
        <v>1124</v>
      </c>
      <c r="AIB976" s="0" t="s">
        <v>1124</v>
      </c>
      <c r="AIC976" s="0" t="s">
        <v>1124</v>
      </c>
      <c r="AID976" s="0" t="s">
        <v>1124</v>
      </c>
      <c r="AIE976" s="0" t="s">
        <v>1124</v>
      </c>
      <c r="AIF976" s="0" t="s">
        <v>1124</v>
      </c>
      <c r="AIG976" s="0" t="s">
        <v>1124</v>
      </c>
      <c r="AIH976" s="0" t="s">
        <v>1124</v>
      </c>
      <c r="AII976" s="0" t="s">
        <v>1124</v>
      </c>
      <c r="AIJ976" s="0" t="s">
        <v>1124</v>
      </c>
      <c r="AIK976" s="0" t="s">
        <v>1124</v>
      </c>
      <c r="AIL976" s="0" t="s">
        <v>1124</v>
      </c>
      <c r="AIM976" s="0" t="s">
        <v>1124</v>
      </c>
      <c r="AIN976" s="0" t="s">
        <v>1124</v>
      </c>
      <c r="AIO976" s="0" t="s">
        <v>1124</v>
      </c>
      <c r="AIP976" s="0" t="s">
        <v>1124</v>
      </c>
      <c r="AIQ976" s="0" t="s">
        <v>1124</v>
      </c>
      <c r="AIR976" s="0" t="s">
        <v>1124</v>
      </c>
      <c r="AIS976" s="0" t="s">
        <v>1124</v>
      </c>
      <c r="AIT976" s="0" t="s">
        <v>1124</v>
      </c>
      <c r="AIU976" s="0" t="s">
        <v>1124</v>
      </c>
      <c r="AIV976" s="0" t="s">
        <v>1124</v>
      </c>
      <c r="AIW976" s="0" t="s">
        <v>1124</v>
      </c>
      <c r="AIX976" s="0" t="s">
        <v>1124</v>
      </c>
      <c r="AIY976" s="0" t="s">
        <v>1124</v>
      </c>
      <c r="AIZ976" s="0" t="s">
        <v>1124</v>
      </c>
      <c r="AJA976" s="0" t="s">
        <v>1124</v>
      </c>
      <c r="AJB976" s="0" t="s">
        <v>1124</v>
      </c>
      <c r="AJC976" s="0" t="s">
        <v>1124</v>
      </c>
      <c r="AJD976" s="0" t="s">
        <v>1124</v>
      </c>
      <c r="AJE976" s="0" t="s">
        <v>1124</v>
      </c>
      <c r="AJF976" s="0" t="s">
        <v>1124</v>
      </c>
      <c r="AJG976" s="0" t="s">
        <v>1124</v>
      </c>
      <c r="AJH976" s="0" t="s">
        <v>1124</v>
      </c>
      <c r="AJI976" s="0" t="s">
        <v>1124</v>
      </c>
      <c r="AJJ976" s="0" t="s">
        <v>1124</v>
      </c>
      <c r="AJK976" s="0" t="s">
        <v>1124</v>
      </c>
      <c r="AJL976" s="0" t="s">
        <v>1124</v>
      </c>
      <c r="AJM976" s="0" t="s">
        <v>1124</v>
      </c>
      <c r="AJN976" s="0" t="s">
        <v>1124</v>
      </c>
      <c r="AJO976" s="0" t="s">
        <v>1124</v>
      </c>
      <c r="AJP976" s="0" t="s">
        <v>1124</v>
      </c>
      <c r="AJQ976" s="0" t="s">
        <v>1124</v>
      </c>
      <c r="AJR976" s="0" t="s">
        <v>1124</v>
      </c>
      <c r="AJS976" s="0" t="s">
        <v>1124</v>
      </c>
      <c r="AJT976" s="0" t="s">
        <v>1124</v>
      </c>
      <c r="AJU976" s="0" t="s">
        <v>1124</v>
      </c>
      <c r="AJV976" s="0" t="s">
        <v>1124</v>
      </c>
      <c r="AJW976" s="0" t="s">
        <v>1124</v>
      </c>
      <c r="AJX976" s="0" t="s">
        <v>1124</v>
      </c>
      <c r="AJY976" s="0" t="s">
        <v>1124</v>
      </c>
      <c r="AJZ976" s="0" t="s">
        <v>1124</v>
      </c>
      <c r="AKA976" s="0" t="s">
        <v>1124</v>
      </c>
      <c r="AKB976" s="0" t="s">
        <v>1124</v>
      </c>
      <c r="AKC976" s="0" t="s">
        <v>1124</v>
      </c>
      <c r="AKD976" s="0" t="s">
        <v>1124</v>
      </c>
      <c r="AKE976" s="0" t="s">
        <v>1124</v>
      </c>
      <c r="AKF976" s="0" t="s">
        <v>1124</v>
      </c>
      <c r="AKG976" s="0" t="s">
        <v>1124</v>
      </c>
      <c r="AKH976" s="0" t="s">
        <v>1124</v>
      </c>
      <c r="AKI976" s="0" t="s">
        <v>1124</v>
      </c>
      <c r="AKJ976" s="0" t="s">
        <v>1124</v>
      </c>
      <c r="AKK976" s="0" t="s">
        <v>1124</v>
      </c>
      <c r="AKL976" s="0" t="s">
        <v>1124</v>
      </c>
      <c r="AKM976" s="0" t="s">
        <v>1124</v>
      </c>
      <c r="AKN976" s="0" t="s">
        <v>1124</v>
      </c>
      <c r="AKO976" s="0" t="s">
        <v>1124</v>
      </c>
      <c r="AKP976" s="0" t="s">
        <v>1124</v>
      </c>
      <c r="AKQ976" s="0" t="s">
        <v>1124</v>
      </c>
      <c r="AKR976" s="0" t="s">
        <v>1124</v>
      </c>
      <c r="AKS976" s="0" t="s">
        <v>1124</v>
      </c>
      <c r="AKT976" s="0" t="s">
        <v>1124</v>
      </c>
      <c r="AKU976" s="0" t="s">
        <v>1124</v>
      </c>
      <c r="AKV976" s="0" t="s">
        <v>1124</v>
      </c>
      <c r="AKW976" s="0" t="s">
        <v>1124</v>
      </c>
      <c r="AKX976" s="0" t="s">
        <v>1124</v>
      </c>
      <c r="AKY976" s="0" t="s">
        <v>1124</v>
      </c>
      <c r="AKZ976" s="0" t="s">
        <v>1124</v>
      </c>
      <c r="ALA976" s="0" t="s">
        <v>1124</v>
      </c>
      <c r="ALB976" s="0" t="s">
        <v>1124</v>
      </c>
      <c r="ALC976" s="0" t="s">
        <v>1124</v>
      </c>
      <c r="ALD976" s="0" t="s">
        <v>1124</v>
      </c>
      <c r="ALE976" s="0" t="s">
        <v>1124</v>
      </c>
      <c r="ALF976" s="0" t="s">
        <v>1124</v>
      </c>
      <c r="ALG976" s="0" t="s">
        <v>1124</v>
      </c>
      <c r="ALH976" s="0" t="s">
        <v>1124</v>
      </c>
      <c r="ALI976" s="0" t="s">
        <v>1124</v>
      </c>
      <c r="ALJ976" s="0" t="s">
        <v>1124</v>
      </c>
      <c r="ALK976" s="0" t="s">
        <v>1124</v>
      </c>
      <c r="ALL976" s="0" t="s">
        <v>1124</v>
      </c>
      <c r="ALM976" s="0" t="s">
        <v>1124</v>
      </c>
      <c r="ALN976" s="0" t="s">
        <v>1124</v>
      </c>
      <c r="ALO976" s="0" t="s">
        <v>1124</v>
      </c>
      <c r="ALP976" s="0" t="s">
        <v>1124</v>
      </c>
      <c r="ALQ976" s="0" t="s">
        <v>1124</v>
      </c>
      <c r="ALR976" s="0" t="s">
        <v>1124</v>
      </c>
      <c r="ALS976" s="0" t="s">
        <v>1124</v>
      </c>
      <c r="ALT976" s="0" t="s">
        <v>1124</v>
      </c>
      <c r="ALU976" s="0" t="s">
        <v>1124</v>
      </c>
      <c r="ALV976" s="0" t="s">
        <v>1124</v>
      </c>
      <c r="ALW976" s="0" t="s">
        <v>1124</v>
      </c>
      <c r="ALX976" s="0" t="s">
        <v>1124</v>
      </c>
      <c r="ALY976" s="0" t="s">
        <v>1124</v>
      </c>
      <c r="ALZ976" s="0" t="s">
        <v>1124</v>
      </c>
      <c r="AMA976" s="0" t="s">
        <v>1124</v>
      </c>
      <c r="AMB976" s="0" t="s">
        <v>1124</v>
      </c>
      <c r="AMC976" s="0" t="s">
        <v>1124</v>
      </c>
      <c r="AMD976" s="0" t="s">
        <v>1124</v>
      </c>
      <c r="AME976" s="0" t="s">
        <v>1124</v>
      </c>
      <c r="AMF976" s="0" t="s">
        <v>1124</v>
      </c>
      <c r="AMG976" s="0" t="s">
        <v>1124</v>
      </c>
      <c r="AMH976" s="0" t="s">
        <v>1124</v>
      </c>
      <c r="AMI976" s="0" t="s">
        <v>1124</v>
      </c>
      <c r="AMJ976" s="0" t="s">
        <v>1124</v>
      </c>
    </row>
    <row r="977" customFormat="false" ht="12.75" hidden="false" customHeight="true" outlineLevel="0" collapsed="false">
      <c r="A977" s="96" t="n">
        <v>114</v>
      </c>
      <c r="B977" s="138" t="s">
        <v>923</v>
      </c>
      <c r="C977" s="139" t="n">
        <v>43084</v>
      </c>
      <c r="D977" s="87" t="n">
        <v>1</v>
      </c>
      <c r="E977" s="99" t="n">
        <v>1</v>
      </c>
      <c r="F977" s="140" t="s">
        <v>178</v>
      </c>
      <c r="G977" s="136" t="s">
        <v>1125</v>
      </c>
    </row>
    <row r="978" customFormat="false" ht="12.75" hidden="false" customHeight="true" outlineLevel="0" collapsed="false">
      <c r="A978" s="96" t="n">
        <v>113</v>
      </c>
      <c r="B978" s="138" t="s">
        <v>135</v>
      </c>
      <c r="C978" s="139" t="n">
        <v>43084</v>
      </c>
      <c r="D978" s="87" t="n">
        <v>1</v>
      </c>
      <c r="E978" s="99" t="n">
        <v>1</v>
      </c>
      <c r="F978" s="140" t="s">
        <v>178</v>
      </c>
      <c r="G978" s="136" t="s">
        <v>1125</v>
      </c>
    </row>
    <row r="979" customFormat="false" ht="12.75" hidden="false" customHeight="true" outlineLevel="0" collapsed="false">
      <c r="A979" s="96" t="n">
        <v>104</v>
      </c>
      <c r="B979" s="138" t="s">
        <v>126</v>
      </c>
      <c r="C979" s="139" t="n">
        <v>43083</v>
      </c>
      <c r="D979" s="87" t="n">
        <v>1</v>
      </c>
      <c r="E979" s="99" t="n">
        <v>1</v>
      </c>
      <c r="F979" s="140" t="s">
        <v>178</v>
      </c>
      <c r="G979" s="136" t="s">
        <v>1126</v>
      </c>
    </row>
    <row r="980" customFormat="false" ht="12.75" hidden="false" customHeight="true" outlineLevel="0" collapsed="false">
      <c r="A980" s="96" t="n">
        <v>104</v>
      </c>
      <c r="B980" s="138" t="s">
        <v>126</v>
      </c>
      <c r="C980" s="139" t="n">
        <v>43083</v>
      </c>
      <c r="D980" s="87" t="n">
        <v>1</v>
      </c>
      <c r="E980" s="99" t="n">
        <v>1</v>
      </c>
      <c r="F980" s="140" t="s">
        <v>178</v>
      </c>
      <c r="G980" s="136" t="s">
        <v>1127</v>
      </c>
    </row>
    <row r="981" customFormat="false" ht="12.75" hidden="false" customHeight="true" outlineLevel="0" collapsed="false">
      <c r="A981" s="96" t="n">
        <v>116</v>
      </c>
      <c r="B981" s="138" t="s">
        <v>883</v>
      </c>
      <c r="C981" s="139" t="n">
        <v>43083</v>
      </c>
      <c r="D981" s="87" t="n">
        <v>1</v>
      </c>
      <c r="E981" s="99" t="n">
        <v>1</v>
      </c>
      <c r="F981" s="140" t="s">
        <v>178</v>
      </c>
      <c r="G981" s="136" t="s">
        <v>1128</v>
      </c>
    </row>
    <row r="982" customFormat="false" ht="12.75" hidden="false" customHeight="true" outlineLevel="0" collapsed="false">
      <c r="A982" s="96" t="n">
        <v>113</v>
      </c>
      <c r="B982" s="138" t="s">
        <v>135</v>
      </c>
      <c r="C982" s="139" t="n">
        <v>43083</v>
      </c>
      <c r="D982" s="87" t="n">
        <v>1</v>
      </c>
      <c r="E982" s="99" t="n">
        <v>1</v>
      </c>
      <c r="F982" s="140" t="s">
        <v>178</v>
      </c>
      <c r="G982" s="136" t="s">
        <v>1128</v>
      </c>
    </row>
    <row r="983" customFormat="false" ht="12.75" hidden="false" customHeight="true" outlineLevel="0" collapsed="false">
      <c r="A983" s="96" t="n">
        <v>104</v>
      </c>
      <c r="B983" s="138" t="s">
        <v>126</v>
      </c>
      <c r="C983" s="139" t="n">
        <v>43083</v>
      </c>
      <c r="D983" s="87" t="n">
        <v>1</v>
      </c>
      <c r="E983" s="99" t="n">
        <v>1</v>
      </c>
      <c r="F983" s="140" t="s">
        <v>178</v>
      </c>
      <c r="G983" s="136" t="s">
        <v>1129</v>
      </c>
    </row>
    <row r="984" customFormat="false" ht="12.75" hidden="false" customHeight="true" outlineLevel="0" collapsed="false">
      <c r="A984" s="96" t="n">
        <v>104</v>
      </c>
      <c r="B984" s="138" t="s">
        <v>126</v>
      </c>
      <c r="C984" s="139" t="n">
        <v>43083</v>
      </c>
      <c r="D984" s="87" t="n">
        <v>1</v>
      </c>
      <c r="E984" s="99" t="n">
        <v>1</v>
      </c>
      <c r="F984" s="140" t="s">
        <v>178</v>
      </c>
      <c r="G984" s="136" t="s">
        <v>1130</v>
      </c>
    </row>
    <row r="985" customFormat="false" ht="12.75" hidden="false" customHeight="true" outlineLevel="0" collapsed="false">
      <c r="A985" s="96" t="n">
        <v>104</v>
      </c>
      <c r="B985" s="138" t="s">
        <v>126</v>
      </c>
      <c r="C985" s="139" t="n">
        <v>43082</v>
      </c>
      <c r="D985" s="87" t="n">
        <v>1</v>
      </c>
      <c r="E985" s="99" t="n">
        <v>1</v>
      </c>
      <c r="F985" s="140" t="s">
        <v>178</v>
      </c>
      <c r="G985" s="136" t="s">
        <v>1131</v>
      </c>
    </row>
    <row r="986" customFormat="false" ht="12.75" hidden="false" customHeight="true" outlineLevel="0" collapsed="false">
      <c r="A986" s="96" t="n">
        <v>78</v>
      </c>
      <c r="B986" s="138" t="s">
        <v>100</v>
      </c>
      <c r="C986" s="139" t="n">
        <v>43081</v>
      </c>
      <c r="D986" s="87" t="n">
        <v>1</v>
      </c>
      <c r="E986" s="99" t="n">
        <v>1</v>
      </c>
      <c r="F986" s="140" t="s">
        <v>178</v>
      </c>
      <c r="G986" s="136" t="s">
        <v>1132</v>
      </c>
    </row>
    <row r="987" customFormat="false" ht="12.75" hidden="false" customHeight="true" outlineLevel="0" collapsed="false">
      <c r="A987" s="96" t="n">
        <v>104</v>
      </c>
      <c r="B987" s="138" t="s">
        <v>126</v>
      </c>
      <c r="C987" s="139" t="n">
        <v>43080</v>
      </c>
      <c r="D987" s="87" t="n">
        <v>1</v>
      </c>
      <c r="E987" s="99" t="n">
        <v>1</v>
      </c>
      <c r="F987" s="140" t="s">
        <v>178</v>
      </c>
      <c r="G987" s="136" t="s">
        <v>1133</v>
      </c>
    </row>
    <row r="988" customFormat="false" ht="12.75" hidden="false" customHeight="true" outlineLevel="0" collapsed="false">
      <c r="A988" s="96" t="n">
        <v>104</v>
      </c>
      <c r="B988" s="138" t="s">
        <v>126</v>
      </c>
      <c r="C988" s="139" t="n">
        <v>43080</v>
      </c>
      <c r="D988" s="87" t="n">
        <v>2</v>
      </c>
      <c r="E988" s="99" t="n">
        <v>1</v>
      </c>
      <c r="F988" s="140" t="s">
        <v>178</v>
      </c>
      <c r="G988" s="137" t="s">
        <v>1134</v>
      </c>
    </row>
    <row r="989" customFormat="false" ht="12.75" hidden="false" customHeight="true" outlineLevel="0" collapsed="false">
      <c r="A989" s="96" t="n">
        <v>104</v>
      </c>
      <c r="B989" s="138" t="s">
        <v>126</v>
      </c>
      <c r="C989" s="139" t="n">
        <v>43080</v>
      </c>
      <c r="D989" s="87" t="n">
        <v>1</v>
      </c>
      <c r="E989" s="99" t="n">
        <v>1</v>
      </c>
      <c r="F989" s="140" t="s">
        <v>178</v>
      </c>
      <c r="G989" s="137" t="s">
        <v>1135</v>
      </c>
    </row>
    <row r="990" customFormat="false" ht="12.75" hidden="false" customHeight="true" outlineLevel="0" collapsed="false">
      <c r="A990" s="96" t="n">
        <v>18</v>
      </c>
      <c r="B990" s="138" t="s">
        <v>40</v>
      </c>
      <c r="C990" s="139" t="n">
        <v>43077</v>
      </c>
      <c r="D990" s="87" t="n">
        <v>1</v>
      </c>
      <c r="E990" s="99" t="n">
        <v>1</v>
      </c>
      <c r="F990" s="140" t="s">
        <v>178</v>
      </c>
      <c r="G990" s="137" t="s">
        <v>1136</v>
      </c>
    </row>
    <row r="991" customFormat="false" ht="12.75" hidden="false" customHeight="true" outlineLevel="0" collapsed="false">
      <c r="A991" s="96" t="n">
        <v>16</v>
      </c>
      <c r="B991" s="138" t="s">
        <v>38</v>
      </c>
      <c r="C991" s="139" t="n">
        <v>43077</v>
      </c>
      <c r="D991" s="87" t="n">
        <v>1</v>
      </c>
      <c r="E991" s="99" t="n">
        <v>1</v>
      </c>
      <c r="F991" s="140" t="s">
        <v>178</v>
      </c>
      <c r="G991" s="137" t="s">
        <v>1136</v>
      </c>
    </row>
    <row r="992" customFormat="false" ht="12.75" hidden="false" customHeight="true" outlineLevel="0" collapsed="false">
      <c r="A992" s="96" t="n">
        <v>104</v>
      </c>
      <c r="B992" s="138" t="s">
        <v>126</v>
      </c>
      <c r="C992" s="139" t="n">
        <v>43075</v>
      </c>
      <c r="D992" s="87" t="n">
        <v>1</v>
      </c>
      <c r="E992" s="99" t="n">
        <v>1</v>
      </c>
      <c r="F992" s="140" t="s">
        <v>178</v>
      </c>
      <c r="G992" s="137" t="s">
        <v>1137</v>
      </c>
    </row>
    <row r="993" customFormat="false" ht="12.75" hidden="false" customHeight="true" outlineLevel="0" collapsed="false">
      <c r="A993" s="96" t="n">
        <v>104</v>
      </c>
      <c r="B993" s="138" t="s">
        <v>126</v>
      </c>
      <c r="C993" s="139" t="n">
        <v>43075</v>
      </c>
      <c r="E993" s="99" t="n">
        <v>1</v>
      </c>
      <c r="F993" s="140" t="s">
        <v>178</v>
      </c>
      <c r="G993" s="137" t="s">
        <v>1138</v>
      </c>
    </row>
    <row r="994" customFormat="false" ht="12.75" hidden="false" customHeight="true" outlineLevel="0" collapsed="false">
      <c r="A994" s="96" t="n">
        <v>104</v>
      </c>
      <c r="B994" s="138" t="s">
        <v>126</v>
      </c>
      <c r="C994" s="139" t="n">
        <v>43074</v>
      </c>
      <c r="D994" s="87" t="n">
        <v>1</v>
      </c>
      <c r="E994" s="99" t="n">
        <v>1</v>
      </c>
      <c r="F994" s="140" t="s">
        <v>178</v>
      </c>
      <c r="G994" s="137" t="s">
        <v>1139</v>
      </c>
    </row>
    <row r="995" customFormat="false" ht="12.75" hidden="false" customHeight="true" outlineLevel="0" collapsed="false">
      <c r="A995" s="96" t="n">
        <v>104</v>
      </c>
      <c r="B995" s="138" t="s">
        <v>126</v>
      </c>
      <c r="C995" s="139" t="n">
        <v>43073</v>
      </c>
      <c r="D995" s="87" t="n">
        <v>1</v>
      </c>
      <c r="E995" s="99" t="n">
        <v>1</v>
      </c>
      <c r="F995" s="140" t="s">
        <v>178</v>
      </c>
      <c r="G995" s="137" t="s">
        <v>1140</v>
      </c>
    </row>
    <row r="996" customFormat="false" ht="12.75" hidden="false" customHeight="true" outlineLevel="0" collapsed="false">
      <c r="A996" s="96" t="n">
        <v>18</v>
      </c>
      <c r="B996" s="138" t="s">
        <v>40</v>
      </c>
      <c r="C996" s="139" t="n">
        <v>43073</v>
      </c>
      <c r="D996" s="87" t="n">
        <v>1</v>
      </c>
      <c r="E996" s="99" t="n">
        <v>1</v>
      </c>
      <c r="F996" s="140" t="s">
        <v>178</v>
      </c>
      <c r="G996" s="137" t="s">
        <v>1141</v>
      </c>
    </row>
    <row r="997" customFormat="false" ht="12.75" hidden="false" customHeight="true" outlineLevel="0" collapsed="false">
      <c r="A997" s="96" t="n">
        <v>104</v>
      </c>
      <c r="B997" s="138" t="s">
        <v>126</v>
      </c>
      <c r="C997" s="139" t="n">
        <v>43070</v>
      </c>
      <c r="D997" s="87" t="n">
        <v>1</v>
      </c>
      <c r="E997" s="99" t="n">
        <v>1</v>
      </c>
      <c r="F997" s="140" t="s">
        <v>178</v>
      </c>
      <c r="G997" s="141" t="s">
        <v>1142</v>
      </c>
    </row>
    <row r="998" customFormat="false" ht="12.75" hidden="false" customHeight="true" outlineLevel="0" collapsed="false">
      <c r="A998" s="96" t="n">
        <v>104</v>
      </c>
      <c r="B998" s="138" t="s">
        <v>126</v>
      </c>
      <c r="C998" s="139" t="n">
        <v>43070</v>
      </c>
      <c r="D998" s="87" t="n">
        <v>1</v>
      </c>
      <c r="E998" s="99" t="n">
        <v>1</v>
      </c>
      <c r="F998" s="140" t="s">
        <v>178</v>
      </c>
      <c r="G998" s="141" t="s">
        <v>1143</v>
      </c>
    </row>
    <row r="999" customFormat="false" ht="12.75" hidden="false" customHeight="true" outlineLevel="0" collapsed="false">
      <c r="A999" s="96" t="n">
        <v>104</v>
      </c>
      <c r="B999" s="138" t="s">
        <v>126</v>
      </c>
      <c r="C999" s="139" t="n">
        <v>43070</v>
      </c>
      <c r="D999" s="87" t="n">
        <v>1</v>
      </c>
      <c r="E999" s="99" t="n">
        <v>1</v>
      </c>
      <c r="F999" s="140" t="s">
        <v>178</v>
      </c>
      <c r="G999" s="141" t="s">
        <v>1144</v>
      </c>
    </row>
    <row r="1000" customFormat="false" ht="12.75" hidden="false" customHeight="true" outlineLevel="0" collapsed="false">
      <c r="A1000" s="96" t="n">
        <v>104</v>
      </c>
      <c r="B1000" s="138" t="s">
        <v>126</v>
      </c>
      <c r="C1000" s="139" t="n">
        <v>43069</v>
      </c>
      <c r="D1000" s="87" t="n">
        <v>1</v>
      </c>
      <c r="E1000" s="99" t="n">
        <v>1</v>
      </c>
      <c r="F1000" s="140" t="s">
        <v>178</v>
      </c>
      <c r="G1000" s="141" t="s">
        <v>1145</v>
      </c>
    </row>
    <row r="1001" customFormat="false" ht="12.75" hidden="false" customHeight="true" outlineLevel="0" collapsed="false">
      <c r="A1001" s="96" t="n">
        <v>104</v>
      </c>
      <c r="B1001" s="138" t="s">
        <v>126</v>
      </c>
      <c r="C1001" s="139" t="n">
        <v>43069</v>
      </c>
      <c r="D1001" s="87" t="n">
        <v>1</v>
      </c>
      <c r="E1001" s="99" t="n">
        <v>1</v>
      </c>
      <c r="F1001" s="140" t="s">
        <v>178</v>
      </c>
      <c r="G1001" s="141" t="s">
        <v>1146</v>
      </c>
    </row>
    <row r="1002" customFormat="false" ht="12.75" hidden="false" customHeight="true" outlineLevel="0" collapsed="false">
      <c r="A1002" s="96" t="n">
        <v>114</v>
      </c>
      <c r="B1002" s="138" t="s">
        <v>923</v>
      </c>
      <c r="C1002" s="139" t="n">
        <v>43069</v>
      </c>
      <c r="D1002" s="87" t="n">
        <v>1</v>
      </c>
      <c r="E1002" s="99" t="n">
        <v>1</v>
      </c>
      <c r="F1002" s="140" t="s">
        <v>178</v>
      </c>
      <c r="G1002" s="132" t="s">
        <v>1147</v>
      </c>
    </row>
    <row r="1003" customFormat="false" ht="12.75" hidden="false" customHeight="true" outlineLevel="0" collapsed="false">
      <c r="A1003" s="96" t="n">
        <v>104</v>
      </c>
      <c r="B1003" s="138" t="s">
        <v>126</v>
      </c>
      <c r="C1003" s="139" t="n">
        <v>43069</v>
      </c>
      <c r="D1003" s="87" t="n">
        <v>1</v>
      </c>
      <c r="E1003" s="99" t="n">
        <v>1</v>
      </c>
      <c r="F1003" s="140" t="s">
        <v>178</v>
      </c>
      <c r="G1003" s="142" t="s">
        <v>1148</v>
      </c>
    </row>
    <row r="1004" customFormat="false" ht="12.75" hidden="false" customHeight="true" outlineLevel="0" collapsed="false">
      <c r="A1004" s="96" t="n">
        <v>104</v>
      </c>
      <c r="B1004" s="138" t="s">
        <v>126</v>
      </c>
      <c r="C1004" s="139" t="n">
        <v>43067</v>
      </c>
      <c r="D1004" s="87" t="n">
        <v>1</v>
      </c>
      <c r="E1004" s="99" t="n">
        <v>1</v>
      </c>
      <c r="F1004" s="140" t="s">
        <v>178</v>
      </c>
      <c r="G1004" s="132" t="s">
        <v>1149</v>
      </c>
    </row>
    <row r="1005" customFormat="false" ht="12.75" hidden="false" customHeight="true" outlineLevel="0" collapsed="false">
      <c r="A1005" s="96" t="n">
        <v>104</v>
      </c>
      <c r="B1005" s="138" t="s">
        <v>126</v>
      </c>
      <c r="C1005" s="139" t="n">
        <v>43067</v>
      </c>
      <c r="D1005" s="87" t="n">
        <v>1</v>
      </c>
      <c r="E1005" s="99" t="n">
        <v>1</v>
      </c>
      <c r="F1005" s="140" t="s">
        <v>178</v>
      </c>
      <c r="G1005" s="132" t="s">
        <v>1150</v>
      </c>
    </row>
    <row r="1006" customFormat="false" ht="12.75" hidden="false" customHeight="true" outlineLevel="0" collapsed="false">
      <c r="A1006" s="96" t="n">
        <v>104</v>
      </c>
      <c r="B1006" s="138" t="s">
        <v>126</v>
      </c>
      <c r="C1006" s="139" t="n">
        <v>43066</v>
      </c>
      <c r="D1006" s="87" t="n">
        <v>1</v>
      </c>
      <c r="E1006" s="99" t="n">
        <v>1</v>
      </c>
      <c r="F1006" s="140" t="s">
        <v>178</v>
      </c>
      <c r="G1006" s="132" t="s">
        <v>1151</v>
      </c>
    </row>
    <row r="1007" customFormat="false" ht="12.75" hidden="false" customHeight="true" outlineLevel="0" collapsed="false">
      <c r="A1007" s="96" t="n">
        <v>116</v>
      </c>
      <c r="B1007" s="138" t="s">
        <v>883</v>
      </c>
      <c r="C1007" s="139" t="n">
        <v>43063</v>
      </c>
      <c r="D1007" s="87" t="n">
        <v>1</v>
      </c>
      <c r="E1007" s="99" t="n">
        <v>1</v>
      </c>
      <c r="F1007" s="140" t="s">
        <v>178</v>
      </c>
      <c r="G1007" s="132" t="s">
        <v>1152</v>
      </c>
    </row>
    <row r="1008" customFormat="false" ht="12.75" hidden="false" customHeight="true" outlineLevel="0" collapsed="false">
      <c r="A1008" s="96" t="n">
        <v>104</v>
      </c>
      <c r="B1008" s="138" t="s">
        <v>126</v>
      </c>
      <c r="C1008" s="139" t="n">
        <v>43062</v>
      </c>
      <c r="D1008" s="87" t="n">
        <v>1</v>
      </c>
      <c r="E1008" s="99" t="n">
        <v>1</v>
      </c>
      <c r="F1008" s="140" t="s">
        <v>178</v>
      </c>
      <c r="G1008" s="132" t="s">
        <v>1153</v>
      </c>
    </row>
    <row r="1009" customFormat="false" ht="12.75" hidden="false" customHeight="true" outlineLevel="0" collapsed="false">
      <c r="A1009" s="96" t="n">
        <v>9</v>
      </c>
      <c r="B1009" s="138" t="s">
        <v>31</v>
      </c>
      <c r="C1009" s="139" t="s">
        <v>1154</v>
      </c>
      <c r="D1009" s="87" t="n">
        <v>1</v>
      </c>
      <c r="E1009" s="99" t="n">
        <v>1</v>
      </c>
      <c r="F1009" s="140" t="s">
        <v>178</v>
      </c>
      <c r="G1009" s="132" t="s">
        <v>1155</v>
      </c>
    </row>
    <row r="1010" customFormat="false" ht="12.75" hidden="false" customHeight="true" outlineLevel="0" collapsed="false">
      <c r="A1010" s="96" t="n">
        <v>104</v>
      </c>
      <c r="B1010" s="138" t="s">
        <v>126</v>
      </c>
      <c r="C1010" s="139" t="n">
        <v>43062</v>
      </c>
      <c r="D1010" s="87" t="n">
        <v>1</v>
      </c>
      <c r="E1010" s="99" t="n">
        <v>1</v>
      </c>
      <c r="F1010" s="140" t="s">
        <v>178</v>
      </c>
      <c r="G1010" s="132" t="s">
        <v>1156</v>
      </c>
    </row>
    <row r="1011" customFormat="false" ht="12.75" hidden="false" customHeight="true" outlineLevel="0" collapsed="false">
      <c r="A1011" s="96" t="n">
        <v>78</v>
      </c>
      <c r="B1011" s="138" t="s">
        <v>100</v>
      </c>
      <c r="C1011" s="139" t="n">
        <v>43062</v>
      </c>
      <c r="D1011" s="87" t="n">
        <v>1</v>
      </c>
      <c r="E1011" s="99" t="n">
        <v>1</v>
      </c>
      <c r="F1011" s="140" t="s">
        <v>178</v>
      </c>
      <c r="G1011" s="132" t="s">
        <v>1157</v>
      </c>
    </row>
    <row r="1012" customFormat="false" ht="12.75" hidden="false" customHeight="true" outlineLevel="0" collapsed="false">
      <c r="A1012" s="96" t="n">
        <v>104</v>
      </c>
      <c r="B1012" s="138" t="s">
        <v>126</v>
      </c>
      <c r="C1012" s="139" t="n">
        <v>43061</v>
      </c>
      <c r="D1012" s="87" t="n">
        <v>1</v>
      </c>
      <c r="E1012" s="99" t="n">
        <v>1</v>
      </c>
      <c r="F1012" s="140" t="s">
        <v>178</v>
      </c>
      <c r="G1012" s="132" t="s">
        <v>1158</v>
      </c>
    </row>
    <row r="1013" customFormat="false" ht="12.75" hidden="false" customHeight="true" outlineLevel="0" collapsed="false">
      <c r="A1013" s="96" t="n">
        <v>104</v>
      </c>
      <c r="B1013" s="138" t="s">
        <v>126</v>
      </c>
      <c r="C1013" s="139" t="s">
        <v>1159</v>
      </c>
      <c r="D1013" s="87" t="n">
        <v>1</v>
      </c>
      <c r="E1013" s="99" t="n">
        <v>1</v>
      </c>
      <c r="F1013" s="140" t="s">
        <v>178</v>
      </c>
      <c r="G1013" s="132" t="s">
        <v>1160</v>
      </c>
    </row>
    <row r="1014" customFormat="false" ht="12.75" hidden="false" customHeight="true" outlineLevel="0" collapsed="false">
      <c r="A1014" s="96" t="n">
        <v>104</v>
      </c>
      <c r="B1014" s="138" t="s">
        <v>126</v>
      </c>
      <c r="C1014" s="139" t="n">
        <v>43060</v>
      </c>
      <c r="D1014" s="87" t="n">
        <v>1</v>
      </c>
      <c r="E1014" s="99" t="n">
        <v>1</v>
      </c>
      <c r="F1014" s="140" t="s">
        <v>178</v>
      </c>
      <c r="G1014" s="132" t="s">
        <v>1161</v>
      </c>
    </row>
    <row r="1015" customFormat="false" ht="12.75" hidden="false" customHeight="true" outlineLevel="0" collapsed="false">
      <c r="A1015" s="96" t="n">
        <v>104</v>
      </c>
      <c r="B1015" s="138" t="s">
        <v>126</v>
      </c>
      <c r="C1015" s="139" t="n">
        <v>43056</v>
      </c>
      <c r="D1015" s="87" t="n">
        <v>1</v>
      </c>
      <c r="E1015" s="99" t="n">
        <v>1</v>
      </c>
      <c r="F1015" s="140" t="s">
        <v>178</v>
      </c>
      <c r="G1015" s="132" t="s">
        <v>1162</v>
      </c>
    </row>
    <row r="1016" customFormat="false" ht="12.75" hidden="false" customHeight="true" outlineLevel="0" collapsed="false">
      <c r="A1016" s="96" t="n">
        <v>18</v>
      </c>
      <c r="B1016" s="138" t="s">
        <v>40</v>
      </c>
      <c r="C1016" s="139" t="n">
        <v>43056</v>
      </c>
      <c r="D1016" s="87" t="n">
        <v>1</v>
      </c>
      <c r="E1016" s="99" t="n">
        <v>1</v>
      </c>
      <c r="F1016" s="140" t="s">
        <v>178</v>
      </c>
      <c r="G1016" s="132" t="s">
        <v>1163</v>
      </c>
    </row>
    <row r="1017" customFormat="false" ht="12.75" hidden="false" customHeight="true" outlineLevel="0" collapsed="false">
      <c r="A1017" s="96" t="n">
        <v>104</v>
      </c>
      <c r="B1017" s="138" t="s">
        <v>126</v>
      </c>
      <c r="C1017" s="139" t="n">
        <v>43056</v>
      </c>
      <c r="D1017" s="87" t="n">
        <v>1</v>
      </c>
      <c r="E1017" s="99" t="n">
        <v>1</v>
      </c>
      <c r="F1017" s="140" t="s">
        <v>178</v>
      </c>
      <c r="G1017" s="132" t="s">
        <v>1164</v>
      </c>
    </row>
    <row r="1018" customFormat="false" ht="12.75" hidden="false" customHeight="true" outlineLevel="0" collapsed="false">
      <c r="A1018" s="96" t="n">
        <v>116</v>
      </c>
      <c r="B1018" s="138" t="s">
        <v>883</v>
      </c>
      <c r="C1018" s="139" t="n">
        <v>43055</v>
      </c>
      <c r="D1018" s="87" t="n">
        <v>1</v>
      </c>
      <c r="E1018" s="99" t="n">
        <v>1</v>
      </c>
      <c r="F1018" s="140" t="s">
        <v>178</v>
      </c>
      <c r="G1018" s="132" t="s">
        <v>1165</v>
      </c>
    </row>
    <row r="1019" customFormat="false" ht="12.75" hidden="false" customHeight="true" outlineLevel="0" collapsed="false">
      <c r="A1019" s="96" t="n">
        <v>104</v>
      </c>
      <c r="B1019" s="138" t="s">
        <v>126</v>
      </c>
      <c r="C1019" s="139" t="s">
        <v>1166</v>
      </c>
      <c r="D1019" s="87" t="n">
        <v>1</v>
      </c>
      <c r="E1019" s="99" t="n">
        <v>1</v>
      </c>
      <c r="F1019" s="140" t="s">
        <v>178</v>
      </c>
      <c r="G1019" s="132" t="s">
        <v>1167</v>
      </c>
    </row>
    <row r="1020" customFormat="false" ht="12.75" hidden="false" customHeight="true" outlineLevel="0" collapsed="false">
      <c r="A1020" s="96" t="n">
        <v>104</v>
      </c>
      <c r="B1020" s="138" t="s">
        <v>126</v>
      </c>
      <c r="C1020" s="139" t="n">
        <v>43052</v>
      </c>
      <c r="D1020" s="87" t="n">
        <v>3</v>
      </c>
      <c r="E1020" s="99" t="n">
        <v>1</v>
      </c>
      <c r="F1020" s="140" t="s">
        <v>178</v>
      </c>
      <c r="G1020" s="132" t="s">
        <v>1168</v>
      </c>
    </row>
    <row r="1021" customFormat="false" ht="12.75" hidden="false" customHeight="true" outlineLevel="0" collapsed="false">
      <c r="A1021" s="96" t="n">
        <v>115</v>
      </c>
      <c r="B1021" s="138" t="s">
        <v>867</v>
      </c>
      <c r="C1021" s="139" t="n">
        <v>43049</v>
      </c>
      <c r="D1021" s="87" t="n">
        <v>1</v>
      </c>
      <c r="E1021" s="99" t="n">
        <v>1</v>
      </c>
      <c r="F1021" s="140" t="s">
        <v>178</v>
      </c>
      <c r="G1021" s="132" t="s">
        <v>1169</v>
      </c>
    </row>
    <row r="1022" customFormat="false" ht="12.75" hidden="false" customHeight="true" outlineLevel="0" collapsed="false">
      <c r="A1022" s="96" t="n">
        <v>104</v>
      </c>
      <c r="B1022" s="138" t="s">
        <v>126</v>
      </c>
      <c r="C1022" s="139" t="n">
        <v>43049</v>
      </c>
      <c r="D1022" s="87" t="n">
        <v>1</v>
      </c>
      <c r="E1022" s="99" t="n">
        <v>1</v>
      </c>
      <c r="F1022" s="140" t="s">
        <v>178</v>
      </c>
      <c r="G1022" s="132" t="s">
        <v>1170</v>
      </c>
    </row>
    <row r="1023" customFormat="false" ht="12.75" hidden="false" customHeight="true" outlineLevel="0" collapsed="false">
      <c r="A1023" s="96" t="n">
        <v>104</v>
      </c>
      <c r="B1023" s="138" t="s">
        <v>126</v>
      </c>
      <c r="C1023" s="139" t="n">
        <v>43048</v>
      </c>
      <c r="D1023" s="87" t="n">
        <v>1</v>
      </c>
      <c r="E1023" s="99" t="n">
        <v>1</v>
      </c>
      <c r="F1023" s="140" t="s">
        <v>178</v>
      </c>
      <c r="G1023" s="132" t="s">
        <v>1171</v>
      </c>
    </row>
    <row r="1024" customFormat="false" ht="12.75" hidden="false" customHeight="true" outlineLevel="0" collapsed="false">
      <c r="A1024" s="96" t="n">
        <v>104</v>
      </c>
      <c r="B1024" s="138" t="s">
        <v>126</v>
      </c>
      <c r="C1024" s="139" t="n">
        <v>43048</v>
      </c>
      <c r="D1024" s="87" t="n">
        <v>1</v>
      </c>
      <c r="E1024" s="99" t="n">
        <v>1</v>
      </c>
      <c r="F1024" s="140" t="s">
        <v>178</v>
      </c>
      <c r="G1024" s="137" t="s">
        <v>1172</v>
      </c>
    </row>
    <row r="1025" customFormat="false" ht="12.75" hidden="false" customHeight="true" outlineLevel="0" collapsed="false">
      <c r="A1025" s="96" t="n">
        <v>104</v>
      </c>
      <c r="B1025" s="138" t="s">
        <v>126</v>
      </c>
      <c r="C1025" s="139" t="n">
        <v>43048</v>
      </c>
      <c r="D1025" s="87" t="n">
        <v>1</v>
      </c>
      <c r="E1025" s="99" t="n">
        <v>1</v>
      </c>
      <c r="F1025" s="140" t="s">
        <v>178</v>
      </c>
      <c r="G1025" s="137" t="s">
        <v>1173</v>
      </c>
    </row>
    <row r="1026" customFormat="false" ht="12.75" hidden="false" customHeight="true" outlineLevel="0" collapsed="false">
      <c r="A1026" s="96" t="n">
        <v>104</v>
      </c>
      <c r="B1026" s="138" t="s">
        <v>126</v>
      </c>
      <c r="C1026" s="139" t="n">
        <v>43047</v>
      </c>
      <c r="D1026" s="87" t="n">
        <v>1</v>
      </c>
      <c r="E1026" s="99" t="n">
        <v>1</v>
      </c>
      <c r="F1026" s="140" t="s">
        <v>178</v>
      </c>
      <c r="G1026" s="137" t="s">
        <v>1174</v>
      </c>
    </row>
    <row r="1027" customFormat="false" ht="12.75" hidden="false" customHeight="true" outlineLevel="0" collapsed="false">
      <c r="A1027" s="96" t="n">
        <v>18</v>
      </c>
      <c r="B1027" s="138" t="s">
        <v>40</v>
      </c>
      <c r="C1027" s="139" t="n">
        <v>43048</v>
      </c>
      <c r="D1027" s="87" t="n">
        <v>1</v>
      </c>
      <c r="E1027" s="99" t="n">
        <v>1</v>
      </c>
      <c r="F1027" s="140" t="s">
        <v>178</v>
      </c>
      <c r="G1027" s="137" t="s">
        <v>1175</v>
      </c>
    </row>
    <row r="1028" customFormat="false" ht="12.75" hidden="false" customHeight="true" outlineLevel="0" collapsed="false">
      <c r="A1028" s="96" t="n">
        <v>104</v>
      </c>
      <c r="B1028" s="138" t="s">
        <v>126</v>
      </c>
      <c r="C1028" s="139" t="n">
        <v>43047</v>
      </c>
      <c r="D1028" s="87" t="n">
        <v>1</v>
      </c>
      <c r="E1028" s="99" t="n">
        <v>1</v>
      </c>
      <c r="F1028" s="140" t="s">
        <v>178</v>
      </c>
      <c r="G1028" s="137" t="s">
        <v>1176</v>
      </c>
    </row>
    <row r="1029" customFormat="false" ht="12.75" hidden="false" customHeight="true" outlineLevel="0" collapsed="false">
      <c r="A1029" s="96" t="n">
        <v>104</v>
      </c>
      <c r="B1029" s="138" t="s">
        <v>126</v>
      </c>
      <c r="C1029" s="139" t="n">
        <v>43047</v>
      </c>
      <c r="D1029" s="87" t="n">
        <v>1</v>
      </c>
      <c r="E1029" s="99" t="n">
        <v>1</v>
      </c>
      <c r="F1029" s="140" t="s">
        <v>178</v>
      </c>
      <c r="G1029" s="137" t="s">
        <v>1177</v>
      </c>
    </row>
    <row r="1030" customFormat="false" ht="12.75" hidden="false" customHeight="true" outlineLevel="0" collapsed="false">
      <c r="A1030" s="96" t="n">
        <v>116</v>
      </c>
      <c r="B1030" s="138" t="s">
        <v>883</v>
      </c>
      <c r="C1030" s="139" t="n">
        <v>43046</v>
      </c>
      <c r="D1030" s="87" t="n">
        <v>1</v>
      </c>
      <c r="E1030" s="99" t="n">
        <v>1</v>
      </c>
      <c r="F1030" s="140" t="s">
        <v>178</v>
      </c>
      <c r="G1030" s="137" t="s">
        <v>1178</v>
      </c>
    </row>
    <row r="1031" customFormat="false" ht="12.75" hidden="false" customHeight="true" outlineLevel="0" collapsed="false">
      <c r="A1031" s="96" t="n">
        <v>9</v>
      </c>
      <c r="B1031" s="138" t="s">
        <v>31</v>
      </c>
      <c r="C1031" s="139" t="n">
        <v>43046</v>
      </c>
      <c r="D1031" s="87" t="n">
        <v>1</v>
      </c>
      <c r="E1031" s="99" t="n">
        <v>1</v>
      </c>
      <c r="F1031" s="140" t="s">
        <v>178</v>
      </c>
      <c r="G1031" s="137" t="s">
        <v>1155</v>
      </c>
    </row>
    <row r="1032" customFormat="false" ht="12.75" hidden="false" customHeight="true" outlineLevel="0" collapsed="false">
      <c r="A1032" s="96" t="n">
        <v>104</v>
      </c>
      <c r="B1032" s="138" t="s">
        <v>126</v>
      </c>
      <c r="C1032" s="139" t="n">
        <v>43045</v>
      </c>
      <c r="D1032" s="87" t="n">
        <v>1</v>
      </c>
      <c r="E1032" s="99" t="n">
        <v>1</v>
      </c>
      <c r="F1032" s="140" t="s">
        <v>178</v>
      </c>
      <c r="G1032" s="137" t="s">
        <v>1179</v>
      </c>
    </row>
    <row r="1033" customFormat="false" ht="12.75" hidden="false" customHeight="true" outlineLevel="0" collapsed="false">
      <c r="A1033" s="96" t="n">
        <v>9</v>
      </c>
      <c r="B1033" s="138" t="s">
        <v>31</v>
      </c>
      <c r="C1033" s="139" t="n">
        <v>43045</v>
      </c>
      <c r="D1033" s="87" t="n">
        <v>1</v>
      </c>
      <c r="E1033" s="99" t="n">
        <v>1</v>
      </c>
      <c r="F1033" s="140" t="s">
        <v>178</v>
      </c>
      <c r="G1033" s="137" t="s">
        <v>1180</v>
      </c>
    </row>
    <row r="1034" customFormat="false" ht="12.75" hidden="false" customHeight="true" outlineLevel="0" collapsed="false">
      <c r="A1034" s="96" t="n">
        <v>18</v>
      </c>
      <c r="B1034" s="138" t="s">
        <v>40</v>
      </c>
      <c r="C1034" s="139" t="n">
        <v>43045</v>
      </c>
      <c r="D1034" s="87" t="n">
        <v>1</v>
      </c>
      <c r="E1034" s="99" t="n">
        <v>1</v>
      </c>
      <c r="F1034" s="140" t="s">
        <v>178</v>
      </c>
      <c r="G1034" s="137" t="s">
        <v>1181</v>
      </c>
    </row>
    <row r="1035" customFormat="false" ht="12.75" hidden="false" customHeight="true" outlineLevel="0" collapsed="false">
      <c r="A1035" s="96" t="n">
        <v>104</v>
      </c>
      <c r="B1035" s="138" t="s">
        <v>126</v>
      </c>
      <c r="C1035" s="139" t="n">
        <v>43043</v>
      </c>
      <c r="D1035" s="87" t="n">
        <v>1</v>
      </c>
      <c r="E1035" s="99" t="n">
        <v>1</v>
      </c>
      <c r="F1035" s="140" t="s">
        <v>178</v>
      </c>
      <c r="G1035" s="132" t="s">
        <v>1182</v>
      </c>
    </row>
    <row r="1036" customFormat="false" ht="12.75" hidden="false" customHeight="true" outlineLevel="0" collapsed="false">
      <c r="A1036" s="96" t="n">
        <v>126</v>
      </c>
      <c r="B1036" s="138" t="s">
        <v>148</v>
      </c>
      <c r="C1036" s="139" t="n">
        <v>43042</v>
      </c>
      <c r="D1036" s="87" t="n">
        <v>1</v>
      </c>
      <c r="E1036" s="99" t="n">
        <v>1</v>
      </c>
      <c r="F1036" s="140" t="s">
        <v>178</v>
      </c>
      <c r="G1036" s="132" t="s">
        <v>1183</v>
      </c>
    </row>
    <row r="1037" customFormat="false" ht="12.75" hidden="false" customHeight="true" outlineLevel="0" collapsed="false">
      <c r="A1037" s="96" t="n">
        <v>104</v>
      </c>
      <c r="B1037" s="138" t="s">
        <v>126</v>
      </c>
      <c r="C1037" s="139" t="n">
        <v>43042</v>
      </c>
      <c r="D1037" s="87" t="n">
        <v>1</v>
      </c>
      <c r="E1037" s="99" t="n">
        <v>1</v>
      </c>
      <c r="F1037" s="140" t="s">
        <v>178</v>
      </c>
      <c r="G1037" s="132" t="s">
        <v>1184</v>
      </c>
    </row>
    <row r="1038" customFormat="false" ht="12.75" hidden="false" customHeight="true" outlineLevel="0" collapsed="false">
      <c r="A1038" s="96" t="n">
        <v>104</v>
      </c>
      <c r="B1038" s="138" t="s">
        <v>126</v>
      </c>
      <c r="C1038" s="139" t="n">
        <v>43042</v>
      </c>
      <c r="D1038" s="87" t="n">
        <v>1</v>
      </c>
      <c r="E1038" s="99" t="n">
        <v>1</v>
      </c>
      <c r="F1038" s="140" t="s">
        <v>178</v>
      </c>
      <c r="G1038" s="132" t="s">
        <v>1185</v>
      </c>
    </row>
    <row r="1039" customFormat="false" ht="12.75" hidden="false" customHeight="true" outlineLevel="0" collapsed="false">
      <c r="A1039" s="96" t="n">
        <v>104</v>
      </c>
      <c r="B1039" s="138" t="s">
        <v>126</v>
      </c>
      <c r="C1039" s="139" t="n">
        <v>43040</v>
      </c>
      <c r="D1039" s="87" t="n">
        <v>1</v>
      </c>
      <c r="E1039" s="99" t="n">
        <v>1</v>
      </c>
      <c r="F1039" s="140" t="s">
        <v>178</v>
      </c>
      <c r="G1039" s="132" t="s">
        <v>1186</v>
      </c>
    </row>
    <row r="1040" customFormat="false" ht="12.75" hidden="false" customHeight="true" outlineLevel="0" collapsed="false">
      <c r="A1040" s="96" t="n">
        <v>104</v>
      </c>
      <c r="B1040" s="138" t="s">
        <v>126</v>
      </c>
      <c r="C1040" s="139" t="n">
        <v>43039</v>
      </c>
      <c r="D1040" s="87" t="n">
        <v>1</v>
      </c>
      <c r="E1040" s="99" t="n">
        <v>1</v>
      </c>
      <c r="F1040" s="140" t="s">
        <v>178</v>
      </c>
      <c r="G1040" s="132" t="s">
        <v>1187</v>
      </c>
    </row>
    <row r="1041" customFormat="false" ht="12.75" hidden="false" customHeight="true" outlineLevel="0" collapsed="false">
      <c r="A1041" s="96" t="n">
        <v>104</v>
      </c>
      <c r="B1041" s="138" t="s">
        <v>126</v>
      </c>
      <c r="C1041" s="139" t="n">
        <v>43039</v>
      </c>
      <c r="D1041" s="87" t="n">
        <v>1</v>
      </c>
      <c r="E1041" s="99" t="n">
        <v>1</v>
      </c>
      <c r="F1041" s="140" t="s">
        <v>178</v>
      </c>
      <c r="G1041" s="132" t="s">
        <v>1188</v>
      </c>
    </row>
    <row r="1042" customFormat="false" ht="12.75" hidden="false" customHeight="true" outlineLevel="0" collapsed="false">
      <c r="A1042" s="96" t="n">
        <v>104</v>
      </c>
      <c r="B1042" s="138" t="s">
        <v>126</v>
      </c>
      <c r="C1042" s="139" t="n">
        <v>43038</v>
      </c>
      <c r="D1042" s="87" t="n">
        <v>1</v>
      </c>
      <c r="E1042" s="99" t="n">
        <v>1</v>
      </c>
      <c r="F1042" s="140" t="s">
        <v>178</v>
      </c>
      <c r="G1042" s="132" t="s">
        <v>1189</v>
      </c>
    </row>
    <row r="1043" customFormat="false" ht="12.75" hidden="false" customHeight="true" outlineLevel="0" collapsed="false">
      <c r="A1043" s="96" t="n">
        <v>104</v>
      </c>
      <c r="B1043" s="138" t="s">
        <v>126</v>
      </c>
      <c r="C1043" s="139" t="n">
        <v>43038</v>
      </c>
      <c r="D1043" s="87" t="n">
        <v>1</v>
      </c>
      <c r="E1043" s="99" t="n">
        <v>1</v>
      </c>
      <c r="F1043" s="140" t="s">
        <v>178</v>
      </c>
      <c r="G1043" s="132" t="s">
        <v>1190</v>
      </c>
    </row>
    <row r="1044" customFormat="false" ht="12.75" hidden="false" customHeight="true" outlineLevel="0" collapsed="false">
      <c r="A1044" s="96" t="n">
        <v>104</v>
      </c>
      <c r="B1044" s="138" t="s">
        <v>126</v>
      </c>
      <c r="C1044" s="139" t="n">
        <v>43035</v>
      </c>
      <c r="D1044" s="87" t="n">
        <v>1</v>
      </c>
      <c r="E1044" s="99" t="n">
        <v>1</v>
      </c>
      <c r="F1044" s="140" t="s">
        <v>178</v>
      </c>
      <c r="G1044" s="132" t="s">
        <v>1191</v>
      </c>
    </row>
    <row r="1045" customFormat="false" ht="12.75" hidden="false" customHeight="true" outlineLevel="0" collapsed="false">
      <c r="A1045" s="96" t="n">
        <v>104</v>
      </c>
      <c r="B1045" s="138" t="s">
        <v>126</v>
      </c>
      <c r="C1045" s="139" t="n">
        <v>43035</v>
      </c>
      <c r="D1045" s="87" t="n">
        <v>1</v>
      </c>
      <c r="E1045" s="99" t="n">
        <v>1</v>
      </c>
      <c r="F1045" s="140" t="s">
        <v>178</v>
      </c>
      <c r="G1045" s="143" t="s">
        <v>1192</v>
      </c>
    </row>
    <row r="1046" customFormat="false" ht="12.75" hidden="false" customHeight="true" outlineLevel="0" collapsed="false">
      <c r="A1046" s="96" t="n">
        <v>104</v>
      </c>
      <c r="B1046" s="138" t="s">
        <v>126</v>
      </c>
      <c r="C1046" s="139" t="n">
        <v>43035</v>
      </c>
      <c r="D1046" s="87" t="n">
        <v>1</v>
      </c>
      <c r="E1046" s="99" t="n">
        <v>1</v>
      </c>
      <c r="F1046" s="140" t="s">
        <v>178</v>
      </c>
      <c r="G1046" s="143" t="s">
        <v>1193</v>
      </c>
    </row>
    <row r="1047" customFormat="false" ht="12.75" hidden="false" customHeight="true" outlineLevel="0" collapsed="false">
      <c r="A1047" s="96" t="n">
        <v>18</v>
      </c>
      <c r="B1047" s="138" t="s">
        <v>40</v>
      </c>
      <c r="C1047" s="139" t="n">
        <v>43033</v>
      </c>
      <c r="D1047" s="87" t="n">
        <v>1</v>
      </c>
      <c r="E1047" s="99" t="n">
        <v>1</v>
      </c>
      <c r="F1047" s="140" t="s">
        <v>178</v>
      </c>
      <c r="G1047" s="111"/>
    </row>
    <row r="1048" customFormat="false" ht="12.75" hidden="false" customHeight="true" outlineLevel="0" collapsed="false">
      <c r="A1048" s="96" t="n">
        <v>104</v>
      </c>
      <c r="B1048" s="138" t="s">
        <v>126</v>
      </c>
      <c r="C1048" s="139" t="n">
        <v>43031</v>
      </c>
      <c r="D1048" s="87" t="n">
        <v>1</v>
      </c>
      <c r="E1048" s="99" t="n">
        <v>1</v>
      </c>
      <c r="F1048" s="140" t="s">
        <v>178</v>
      </c>
      <c r="G1048" s="132" t="s">
        <v>1194</v>
      </c>
    </row>
    <row r="1049" customFormat="false" ht="12.75" hidden="false" customHeight="true" outlineLevel="0" collapsed="false">
      <c r="A1049" s="96" t="n">
        <v>113</v>
      </c>
      <c r="B1049" s="138" t="s">
        <v>135</v>
      </c>
      <c r="C1049" s="139" t="n">
        <v>43031</v>
      </c>
      <c r="D1049" s="87" t="n">
        <v>1</v>
      </c>
      <c r="E1049" s="99" t="n">
        <v>1</v>
      </c>
      <c r="F1049" s="140" t="s">
        <v>178</v>
      </c>
      <c r="G1049" s="132" t="s">
        <v>1195</v>
      </c>
    </row>
    <row r="1050" customFormat="false" ht="12.75" hidden="false" customHeight="true" outlineLevel="0" collapsed="false">
      <c r="A1050" s="96" t="n">
        <v>104</v>
      </c>
      <c r="B1050" s="138" t="s">
        <v>126</v>
      </c>
      <c r="C1050" s="139" t="n">
        <v>43031</v>
      </c>
      <c r="D1050" s="87" t="n">
        <v>1</v>
      </c>
      <c r="E1050" s="99" t="n">
        <v>1</v>
      </c>
      <c r="F1050" s="140" t="s">
        <v>178</v>
      </c>
      <c r="G1050" s="132" t="s">
        <v>1196</v>
      </c>
    </row>
    <row r="1051" customFormat="false" ht="12.75" hidden="false" customHeight="true" outlineLevel="0" collapsed="false">
      <c r="A1051" s="96" t="n">
        <v>104</v>
      </c>
      <c r="B1051" s="138" t="s">
        <v>126</v>
      </c>
      <c r="C1051" s="139" t="n">
        <v>43031</v>
      </c>
      <c r="D1051" s="87" t="n">
        <v>1</v>
      </c>
      <c r="E1051" s="99" t="n">
        <v>1</v>
      </c>
      <c r="F1051" s="140" t="s">
        <v>178</v>
      </c>
      <c r="G1051" s="132" t="s">
        <v>1197</v>
      </c>
    </row>
    <row r="1052" customFormat="false" ht="12.75" hidden="false" customHeight="true" outlineLevel="0" collapsed="false">
      <c r="A1052" s="96" t="s">
        <v>1198</v>
      </c>
      <c r="B1052" s="138" t="s">
        <v>883</v>
      </c>
      <c r="C1052" s="139" t="n">
        <v>43027</v>
      </c>
      <c r="D1052" s="87" t="n">
        <v>1</v>
      </c>
      <c r="E1052" s="99" t="n">
        <v>1</v>
      </c>
      <c r="F1052" s="140" t="s">
        <v>178</v>
      </c>
      <c r="G1052" s="132" t="s">
        <v>1199</v>
      </c>
    </row>
    <row r="1053" customFormat="false" ht="12.75" hidden="false" customHeight="true" outlineLevel="0" collapsed="false">
      <c r="A1053" s="96" t="n">
        <v>104</v>
      </c>
      <c r="B1053" s="138" t="s">
        <v>126</v>
      </c>
      <c r="C1053" s="139" t="n">
        <v>43027</v>
      </c>
      <c r="D1053" s="87" t="n">
        <v>1</v>
      </c>
      <c r="E1053" s="99" t="n">
        <v>1</v>
      </c>
      <c r="F1053" s="140" t="s">
        <v>178</v>
      </c>
      <c r="G1053" s="111"/>
    </row>
    <row r="1054" customFormat="false" ht="12.75" hidden="false" customHeight="true" outlineLevel="0" collapsed="false">
      <c r="A1054" s="96" t="n">
        <v>104</v>
      </c>
      <c r="B1054" s="138" t="s">
        <v>126</v>
      </c>
      <c r="C1054" s="139" t="n">
        <v>43026</v>
      </c>
      <c r="D1054" s="87" t="n">
        <v>1</v>
      </c>
      <c r="E1054" s="99" t="n">
        <v>1</v>
      </c>
      <c r="F1054" s="140" t="s">
        <v>178</v>
      </c>
      <c r="G1054" s="111"/>
    </row>
    <row r="1055" customFormat="false" ht="12.75" hidden="false" customHeight="true" outlineLevel="0" collapsed="false">
      <c r="A1055" s="96" t="n">
        <v>104</v>
      </c>
      <c r="B1055" s="138" t="s">
        <v>126</v>
      </c>
      <c r="C1055" s="139" t="n">
        <v>43026</v>
      </c>
      <c r="D1055" s="87" t="n">
        <v>1</v>
      </c>
      <c r="E1055" s="99" t="n">
        <v>1</v>
      </c>
      <c r="F1055" s="140" t="s">
        <v>178</v>
      </c>
      <c r="G1055" s="132" t="s">
        <v>1200</v>
      </c>
    </row>
    <row r="1056" customFormat="false" ht="12.75" hidden="false" customHeight="true" outlineLevel="0" collapsed="false">
      <c r="A1056" s="96" t="n">
        <v>104</v>
      </c>
      <c r="B1056" s="138" t="s">
        <v>126</v>
      </c>
      <c r="C1056" s="139" t="n">
        <v>43026</v>
      </c>
      <c r="D1056" s="87" t="n">
        <v>1</v>
      </c>
      <c r="E1056" s="99" t="n">
        <v>1</v>
      </c>
      <c r="F1056" s="140" t="s">
        <v>178</v>
      </c>
      <c r="G1056" s="144" t="s">
        <v>1201</v>
      </c>
    </row>
    <row r="1057" customFormat="false" ht="12.75" hidden="false" customHeight="true" outlineLevel="0" collapsed="false">
      <c r="A1057" s="96" t="n">
        <v>104</v>
      </c>
      <c r="B1057" s="138" t="s">
        <v>126</v>
      </c>
      <c r="C1057" s="139" t="n">
        <v>43025</v>
      </c>
      <c r="D1057" s="87" t="n">
        <v>1</v>
      </c>
      <c r="E1057" s="99" t="n">
        <v>1</v>
      </c>
      <c r="F1057" s="140" t="s">
        <v>178</v>
      </c>
      <c r="G1057" s="144" t="s">
        <v>1202</v>
      </c>
    </row>
    <row r="1058" customFormat="false" ht="12.75" hidden="false" customHeight="true" outlineLevel="0" collapsed="false">
      <c r="A1058" s="96" t="n">
        <v>104</v>
      </c>
      <c r="B1058" s="138" t="s">
        <v>126</v>
      </c>
      <c r="C1058" s="139" t="n">
        <v>43021</v>
      </c>
      <c r="D1058" s="87" t="n">
        <v>1</v>
      </c>
      <c r="E1058" s="99" t="n">
        <v>1</v>
      </c>
      <c r="F1058" s="140" t="s">
        <v>178</v>
      </c>
      <c r="G1058" s="144" t="s">
        <v>1203</v>
      </c>
    </row>
    <row r="1059" customFormat="false" ht="12.75" hidden="false" customHeight="true" outlineLevel="0" collapsed="false">
      <c r="A1059" s="96" t="n">
        <v>104</v>
      </c>
      <c r="B1059" s="138" t="s">
        <v>126</v>
      </c>
      <c r="C1059" s="139" t="n">
        <v>43021</v>
      </c>
      <c r="D1059" s="87" t="n">
        <v>1</v>
      </c>
      <c r="E1059" s="99" t="n">
        <v>1</v>
      </c>
      <c r="F1059" s="140" t="s">
        <v>178</v>
      </c>
      <c r="G1059" s="144" t="s">
        <v>1204</v>
      </c>
    </row>
    <row r="1060" customFormat="false" ht="12.75" hidden="false" customHeight="true" outlineLevel="0" collapsed="false">
      <c r="A1060" s="96" t="n">
        <v>9</v>
      </c>
      <c r="B1060" s="138" t="s">
        <v>31</v>
      </c>
      <c r="C1060" s="139" t="n">
        <v>43021</v>
      </c>
      <c r="D1060" s="87" t="n">
        <v>1</v>
      </c>
      <c r="E1060" s="99" t="n">
        <v>1</v>
      </c>
      <c r="F1060" s="140" t="s">
        <v>15</v>
      </c>
      <c r="G1060" s="144" t="s">
        <v>1205</v>
      </c>
    </row>
    <row r="1061" customFormat="false" ht="12.75" hidden="false" customHeight="true" outlineLevel="0" collapsed="false">
      <c r="A1061" s="96" t="n">
        <v>104</v>
      </c>
      <c r="B1061" s="138" t="s">
        <v>126</v>
      </c>
      <c r="C1061" s="139" t="n">
        <v>43019</v>
      </c>
      <c r="D1061" s="87" t="n">
        <v>1</v>
      </c>
      <c r="E1061" s="99" t="n">
        <v>1</v>
      </c>
      <c r="F1061" s="140" t="s">
        <v>178</v>
      </c>
      <c r="G1061" s="144" t="s">
        <v>1206</v>
      </c>
    </row>
    <row r="1062" customFormat="false" ht="12.75" hidden="false" customHeight="true" outlineLevel="0" collapsed="false">
      <c r="A1062" s="96" t="n">
        <v>104</v>
      </c>
      <c r="B1062" s="138" t="s">
        <v>126</v>
      </c>
      <c r="C1062" s="139" t="n">
        <v>43018</v>
      </c>
      <c r="D1062" s="87" t="n">
        <v>1</v>
      </c>
      <c r="E1062" s="99" t="n">
        <v>1</v>
      </c>
      <c r="F1062" s="140" t="s">
        <v>178</v>
      </c>
      <c r="G1062" s="144" t="s">
        <v>1207</v>
      </c>
    </row>
    <row r="1063" customFormat="false" ht="12.75" hidden="false" customHeight="true" outlineLevel="0" collapsed="false">
      <c r="A1063" s="96" t="n">
        <v>104</v>
      </c>
      <c r="B1063" s="138" t="s">
        <v>126</v>
      </c>
      <c r="C1063" s="139" t="n">
        <v>43015</v>
      </c>
      <c r="D1063" s="87" t="n">
        <v>1</v>
      </c>
      <c r="E1063" s="99" t="n">
        <v>1</v>
      </c>
      <c r="F1063" s="140" t="s">
        <v>178</v>
      </c>
      <c r="G1063" s="57" t="s">
        <v>1208</v>
      </c>
    </row>
    <row r="1064" customFormat="false" ht="12.75" hidden="false" customHeight="true" outlineLevel="0" collapsed="false">
      <c r="A1064" s="96" t="n">
        <v>96</v>
      </c>
      <c r="B1064" s="138" t="s">
        <v>118</v>
      </c>
      <c r="C1064" s="139" t="n">
        <v>43017</v>
      </c>
      <c r="D1064" s="87" t="n">
        <v>1</v>
      </c>
      <c r="E1064" s="99" t="n">
        <v>1</v>
      </c>
      <c r="F1064" s="140" t="s">
        <v>178</v>
      </c>
      <c r="G1064" s="57" t="s">
        <v>1209</v>
      </c>
    </row>
    <row r="1065" customFormat="false" ht="14.4" hidden="false" customHeight="false" outlineLevel="0" collapsed="false">
      <c r="A1065" s="96" t="n">
        <v>104</v>
      </c>
      <c r="B1065" s="138" t="s">
        <v>126</v>
      </c>
      <c r="C1065" s="139" t="n">
        <v>43017</v>
      </c>
      <c r="D1065" s="87" t="n">
        <v>1</v>
      </c>
      <c r="E1065" s="99" t="n">
        <v>1</v>
      </c>
      <c r="F1065" s="140" t="s">
        <v>178</v>
      </c>
      <c r="G1065" s="100" t="s">
        <v>1210</v>
      </c>
    </row>
    <row r="1066" customFormat="false" ht="18.75" hidden="false" customHeight="true" outlineLevel="0" collapsed="false">
      <c r="A1066" s="96" t="n">
        <v>104</v>
      </c>
      <c r="B1066" s="138" t="s">
        <v>126</v>
      </c>
      <c r="C1066" s="139" t="n">
        <v>43017</v>
      </c>
      <c r="D1066" s="87" t="n">
        <v>1</v>
      </c>
      <c r="E1066" s="99" t="n">
        <v>1</v>
      </c>
      <c r="F1066" s="140" t="s">
        <v>178</v>
      </c>
      <c r="G1066" s="100" t="s">
        <v>1211</v>
      </c>
    </row>
    <row r="1067" customFormat="false" ht="14.4" hidden="false" customHeight="false" outlineLevel="0" collapsed="false">
      <c r="A1067" s="96" t="n">
        <v>55</v>
      </c>
      <c r="B1067" s="138" t="s">
        <v>77</v>
      </c>
      <c r="C1067" s="145" t="n">
        <v>43013</v>
      </c>
      <c r="D1067" s="87" t="n">
        <v>5</v>
      </c>
      <c r="E1067" s="99" t="n">
        <v>1</v>
      </c>
      <c r="F1067" s="140" t="s">
        <v>178</v>
      </c>
      <c r="G1067" s="57" t="s">
        <v>1212</v>
      </c>
    </row>
    <row r="1068" customFormat="false" ht="14.4" hidden="false" customHeight="false" outlineLevel="0" collapsed="false">
      <c r="A1068" s="146" t="n">
        <v>25</v>
      </c>
      <c r="B1068" s="138" t="s">
        <v>47</v>
      </c>
      <c r="C1068" s="145" t="n">
        <v>43013</v>
      </c>
      <c r="D1068" s="87" t="n">
        <v>5</v>
      </c>
      <c r="E1068" s="99" t="n">
        <v>1</v>
      </c>
      <c r="F1068" s="140" t="s">
        <v>178</v>
      </c>
      <c r="G1068" s="57" t="s">
        <v>1212</v>
      </c>
    </row>
    <row r="1069" customFormat="false" ht="14.4" hidden="false" customHeight="false" outlineLevel="0" collapsed="false">
      <c r="A1069" s="96" t="n">
        <v>18</v>
      </c>
      <c r="B1069" s="138" t="s">
        <v>40</v>
      </c>
      <c r="C1069" s="145" t="n">
        <v>43013</v>
      </c>
      <c r="D1069" s="87" t="n">
        <v>5</v>
      </c>
      <c r="E1069" s="99" t="n">
        <v>1</v>
      </c>
      <c r="F1069" s="140" t="s">
        <v>178</v>
      </c>
      <c r="G1069" s="57" t="s">
        <v>1212</v>
      </c>
    </row>
    <row r="1070" customFormat="false" ht="14.4" hidden="false" customHeight="false" outlineLevel="0" collapsed="false">
      <c r="A1070" s="96" t="n">
        <v>16</v>
      </c>
      <c r="B1070" s="138" t="s">
        <v>38</v>
      </c>
      <c r="C1070" s="147" t="n">
        <v>43013</v>
      </c>
      <c r="D1070" s="87" t="n">
        <v>5</v>
      </c>
      <c r="E1070" s="99" t="n">
        <v>1</v>
      </c>
      <c r="F1070" s="140" t="s">
        <v>178</v>
      </c>
      <c r="G1070" s="57" t="s">
        <v>1212</v>
      </c>
    </row>
    <row r="1071" customFormat="false" ht="14.4" hidden="false" customHeight="false" outlineLevel="0" collapsed="false">
      <c r="A1071" s="96" t="n">
        <v>104</v>
      </c>
      <c r="B1071" s="138" t="s">
        <v>126</v>
      </c>
      <c r="C1071" s="147" t="n">
        <v>43014</v>
      </c>
      <c r="D1071" s="87" t="n">
        <v>1</v>
      </c>
      <c r="E1071" s="99" t="n">
        <v>1</v>
      </c>
      <c r="F1071" s="140" t="s">
        <v>178</v>
      </c>
      <c r="G1071" s="57" t="s">
        <v>1213</v>
      </c>
    </row>
    <row r="1072" customFormat="false" ht="14.4" hidden="false" customHeight="false" outlineLevel="0" collapsed="false">
      <c r="A1072" s="96" t="n">
        <v>104</v>
      </c>
      <c r="B1072" s="138" t="s">
        <v>126</v>
      </c>
      <c r="C1072" s="147" t="n">
        <v>43013</v>
      </c>
      <c r="D1072" s="87" t="n">
        <v>1</v>
      </c>
      <c r="E1072" s="99" t="n">
        <v>1</v>
      </c>
      <c r="F1072" s="140" t="s">
        <v>178</v>
      </c>
      <c r="G1072" s="57" t="s">
        <v>1214</v>
      </c>
    </row>
    <row r="1073" customFormat="false" ht="14.4" hidden="false" customHeight="false" outlineLevel="0" collapsed="false">
      <c r="A1073" s="96" t="n">
        <v>104</v>
      </c>
      <c r="B1073" s="138" t="s">
        <v>126</v>
      </c>
      <c r="C1073" s="147" t="n">
        <v>43012</v>
      </c>
      <c r="D1073" s="87" t="n">
        <v>1</v>
      </c>
      <c r="E1073" s="99" t="n">
        <v>1</v>
      </c>
      <c r="F1073" s="140" t="s">
        <v>178</v>
      </c>
      <c r="G1073" s="57" t="s">
        <v>1215</v>
      </c>
    </row>
    <row r="1074" customFormat="false" ht="14.4" hidden="false" customHeight="false" outlineLevel="0" collapsed="false">
      <c r="A1074" s="96" t="n">
        <v>104</v>
      </c>
      <c r="B1074" s="138" t="s">
        <v>126</v>
      </c>
      <c r="C1074" s="147" t="n">
        <v>43012</v>
      </c>
      <c r="D1074" s="87" t="n">
        <v>1</v>
      </c>
      <c r="E1074" s="99" t="n">
        <v>1</v>
      </c>
      <c r="F1074" s="140" t="s">
        <v>178</v>
      </c>
      <c r="G1074" s="57" t="s">
        <v>1216</v>
      </c>
    </row>
    <row r="1075" customFormat="false" ht="14.4" hidden="false" customHeight="false" outlineLevel="0" collapsed="false">
      <c r="A1075" s="96" t="n">
        <v>58</v>
      </c>
      <c r="B1075" s="138" t="s">
        <v>1217</v>
      </c>
      <c r="C1075" s="147" t="n">
        <v>43011</v>
      </c>
      <c r="D1075" s="87" t="n">
        <v>3</v>
      </c>
      <c r="E1075" s="99" t="n">
        <v>1</v>
      </c>
      <c r="F1075" s="140" t="s">
        <v>178</v>
      </c>
      <c r="G1075" s="57" t="s">
        <v>1218</v>
      </c>
    </row>
    <row r="1076" customFormat="false" ht="14.4" hidden="false" customHeight="false" outlineLevel="0" collapsed="false">
      <c r="A1076" s="96" t="n">
        <v>84</v>
      </c>
      <c r="B1076" s="138" t="s">
        <v>106</v>
      </c>
      <c r="C1076" s="147" t="n">
        <v>42981</v>
      </c>
      <c r="D1076" s="87" t="n">
        <v>1</v>
      </c>
      <c r="E1076" s="99" t="n">
        <v>1</v>
      </c>
      <c r="F1076" s="140" t="s">
        <v>14</v>
      </c>
      <c r="G1076" s="57" t="s">
        <v>1219</v>
      </c>
    </row>
    <row r="1077" customFormat="false" ht="14.4" hidden="false" customHeight="false" outlineLevel="0" collapsed="false">
      <c r="A1077" s="96" t="n">
        <v>104</v>
      </c>
      <c r="B1077" s="138" t="s">
        <v>126</v>
      </c>
      <c r="C1077" s="147" t="n">
        <v>42981</v>
      </c>
      <c r="D1077" s="87" t="n">
        <v>15</v>
      </c>
      <c r="E1077" s="99" t="n">
        <v>1</v>
      </c>
      <c r="F1077" s="140" t="s">
        <v>14</v>
      </c>
      <c r="G1077" s="57" t="s">
        <v>1220</v>
      </c>
    </row>
    <row r="1078" customFormat="false" ht="14.4" hidden="false" customHeight="false" outlineLevel="0" collapsed="false">
      <c r="A1078" s="96" t="n">
        <v>59</v>
      </c>
      <c r="B1078" s="138" t="s">
        <v>81</v>
      </c>
      <c r="C1078" s="147" t="n">
        <v>43011</v>
      </c>
      <c r="D1078" s="87" t="n">
        <v>1</v>
      </c>
      <c r="E1078" s="99" t="n">
        <v>1</v>
      </c>
      <c r="F1078" s="140" t="s">
        <v>12</v>
      </c>
      <c r="G1078" s="57" t="s">
        <v>1221</v>
      </c>
    </row>
    <row r="1079" customFormat="false" ht="14.4" hidden="false" customHeight="false" outlineLevel="0" collapsed="false">
      <c r="A1079" s="96" t="n">
        <v>96</v>
      </c>
      <c r="B1079" s="138" t="s">
        <v>118</v>
      </c>
      <c r="C1079" s="147" t="n">
        <v>43011</v>
      </c>
      <c r="D1079" s="87" t="n">
        <v>1</v>
      </c>
      <c r="E1079" s="99" t="n">
        <v>1</v>
      </c>
      <c r="F1079" s="140" t="s">
        <v>14</v>
      </c>
      <c r="G1079" s="57" t="s">
        <v>1222</v>
      </c>
    </row>
    <row r="1080" customFormat="false" ht="14.4" hidden="false" customHeight="false" outlineLevel="0" collapsed="false">
      <c r="A1080" s="96" t="n">
        <v>104</v>
      </c>
      <c r="B1080" s="138" t="s">
        <v>126</v>
      </c>
      <c r="C1080" s="147" t="n">
        <v>43011</v>
      </c>
      <c r="D1080" s="87" t="n">
        <v>1</v>
      </c>
      <c r="E1080" s="99" t="n">
        <v>1</v>
      </c>
      <c r="F1080" s="140" t="s">
        <v>178</v>
      </c>
      <c r="G1080" s="132" t="s">
        <v>1223</v>
      </c>
    </row>
    <row r="1081" customFormat="false" ht="14.4" hidden="false" customHeight="false" outlineLevel="0" collapsed="false">
      <c r="A1081" s="96" t="n">
        <v>104</v>
      </c>
      <c r="B1081" s="138" t="s">
        <v>126</v>
      </c>
      <c r="C1081" s="147" t="n">
        <v>43008</v>
      </c>
      <c r="D1081" s="87" t="n">
        <v>1</v>
      </c>
      <c r="E1081" s="99" t="n">
        <v>1</v>
      </c>
      <c r="F1081" s="140" t="s">
        <v>178</v>
      </c>
      <c r="G1081" s="132" t="s">
        <v>1224</v>
      </c>
    </row>
    <row r="1082" customFormat="false" ht="14.4" hidden="false" customHeight="false" outlineLevel="0" collapsed="false">
      <c r="A1082" s="96" t="n">
        <v>104</v>
      </c>
      <c r="B1082" s="138" t="s">
        <v>1225</v>
      </c>
      <c r="C1082" s="147" t="n">
        <v>43010</v>
      </c>
      <c r="D1082" s="87" t="n">
        <v>1</v>
      </c>
      <c r="E1082" s="99" t="n">
        <v>1</v>
      </c>
      <c r="F1082" s="140" t="s">
        <v>178</v>
      </c>
      <c r="G1082" s="132" t="s">
        <v>1226</v>
      </c>
    </row>
    <row r="1083" customFormat="false" ht="14.4" hidden="false" customHeight="false" outlineLevel="0" collapsed="false">
      <c r="A1083" s="96" t="n">
        <v>104</v>
      </c>
      <c r="B1083" s="138" t="s">
        <v>126</v>
      </c>
      <c r="C1083" s="147" t="n">
        <v>43010</v>
      </c>
      <c r="D1083" s="87" t="n">
        <v>1</v>
      </c>
      <c r="E1083" s="99" t="n">
        <v>1</v>
      </c>
      <c r="F1083" s="140" t="s">
        <v>178</v>
      </c>
      <c r="G1083" s="132" t="s">
        <v>1227</v>
      </c>
    </row>
    <row r="1084" customFormat="false" ht="14.4" hidden="false" customHeight="false" outlineLevel="0" collapsed="false">
      <c r="A1084" s="96" t="n">
        <v>104</v>
      </c>
      <c r="B1084" s="138" t="s">
        <v>126</v>
      </c>
      <c r="C1084" s="147" t="n">
        <v>43007</v>
      </c>
      <c r="D1084" s="87" t="n">
        <v>1</v>
      </c>
      <c r="E1084" s="99" t="n">
        <v>1</v>
      </c>
      <c r="F1084" s="140" t="s">
        <v>178</v>
      </c>
      <c r="G1084" s="132" t="s">
        <v>1228</v>
      </c>
    </row>
    <row r="1085" customFormat="false" ht="14.4" hidden="false" customHeight="false" outlineLevel="0" collapsed="false">
      <c r="A1085" s="96" t="n">
        <v>104</v>
      </c>
      <c r="B1085" s="138" t="s">
        <v>126</v>
      </c>
      <c r="C1085" s="147" t="n">
        <v>43007</v>
      </c>
      <c r="D1085" s="87" t="n">
        <v>1</v>
      </c>
      <c r="E1085" s="99" t="n">
        <v>1</v>
      </c>
      <c r="F1085" s="140" t="s">
        <v>178</v>
      </c>
      <c r="G1085" s="132" t="s">
        <v>1229</v>
      </c>
    </row>
    <row r="1086" customFormat="false" ht="14.4" hidden="false" customHeight="false" outlineLevel="0" collapsed="false">
      <c r="A1086" s="96" t="n">
        <v>104</v>
      </c>
      <c r="B1086" s="138" t="s">
        <v>126</v>
      </c>
      <c r="C1086" s="147" t="n">
        <v>43007</v>
      </c>
      <c r="D1086" s="87" t="n">
        <v>1</v>
      </c>
      <c r="E1086" s="99" t="n">
        <v>1</v>
      </c>
      <c r="F1086" s="140" t="s">
        <v>178</v>
      </c>
      <c r="G1086" s="132" t="s">
        <v>1230</v>
      </c>
    </row>
    <row r="1087" customFormat="false" ht="14.4" hidden="false" customHeight="false" outlineLevel="0" collapsed="false">
      <c r="A1087" s="96" t="n">
        <v>70</v>
      </c>
      <c r="B1087" s="138" t="s">
        <v>92</v>
      </c>
      <c r="C1087" s="147" t="n">
        <v>43007</v>
      </c>
      <c r="D1087" s="87" t="n">
        <v>1</v>
      </c>
      <c r="E1087" s="99" t="n">
        <v>1</v>
      </c>
      <c r="F1087" s="140" t="s">
        <v>14</v>
      </c>
      <c r="G1087" s="132" t="s">
        <v>1231</v>
      </c>
    </row>
    <row r="1088" customFormat="false" ht="14.4" hidden="false" customHeight="false" outlineLevel="0" collapsed="false">
      <c r="A1088" s="96" t="n">
        <v>56</v>
      </c>
      <c r="B1088" s="138" t="s">
        <v>78</v>
      </c>
      <c r="C1088" s="147" t="n">
        <v>43007</v>
      </c>
      <c r="D1088" s="87" t="n">
        <v>1</v>
      </c>
      <c r="E1088" s="99" t="n">
        <v>1</v>
      </c>
      <c r="F1088" s="140" t="s">
        <v>14</v>
      </c>
      <c r="G1088" s="132" t="s">
        <v>1232</v>
      </c>
    </row>
    <row r="1089" customFormat="false" ht="14.4" hidden="false" customHeight="false" outlineLevel="0" collapsed="false">
      <c r="A1089" s="96" t="n">
        <v>104</v>
      </c>
      <c r="B1089" s="138" t="s">
        <v>126</v>
      </c>
      <c r="C1089" s="147" t="n">
        <v>43007</v>
      </c>
      <c r="D1089" s="87" t="n">
        <v>1</v>
      </c>
      <c r="E1089" s="99" t="n">
        <v>1</v>
      </c>
      <c r="F1089" s="140" t="s">
        <v>178</v>
      </c>
      <c r="G1089" s="132" t="s">
        <v>1233</v>
      </c>
    </row>
    <row r="1090" customFormat="false" ht="14.4" hidden="false" customHeight="false" outlineLevel="0" collapsed="false">
      <c r="A1090" s="96" t="n">
        <v>119</v>
      </c>
      <c r="B1090" s="138" t="s">
        <v>141</v>
      </c>
      <c r="C1090" s="147" t="n">
        <v>43007</v>
      </c>
      <c r="D1090" s="87" t="n">
        <v>3</v>
      </c>
      <c r="E1090" s="99" t="n">
        <v>1</v>
      </c>
      <c r="F1090" s="140" t="s">
        <v>178</v>
      </c>
      <c r="G1090" s="129" t="s">
        <v>1234</v>
      </c>
    </row>
    <row r="1091" customFormat="false" ht="14.4" hidden="false" customHeight="false" outlineLevel="0" collapsed="false">
      <c r="A1091" s="96" t="n">
        <v>18</v>
      </c>
      <c r="B1091" s="138" t="s">
        <v>40</v>
      </c>
      <c r="C1091" s="147" t="n">
        <v>43007</v>
      </c>
      <c r="D1091" s="87" t="n">
        <v>1</v>
      </c>
      <c r="E1091" s="99" t="n">
        <v>1</v>
      </c>
      <c r="F1091" s="140" t="s">
        <v>178</v>
      </c>
      <c r="G1091" s="129" t="s">
        <v>1235</v>
      </c>
    </row>
    <row r="1092" customFormat="false" ht="14.4" hidden="false" customHeight="false" outlineLevel="0" collapsed="false">
      <c r="A1092" s="96" t="n">
        <v>99</v>
      </c>
      <c r="B1092" s="138" t="s">
        <v>121</v>
      </c>
      <c r="C1092" s="147" t="n">
        <v>43005</v>
      </c>
      <c r="D1092" s="87" t="n">
        <v>1</v>
      </c>
      <c r="E1092" s="99" t="n">
        <v>1</v>
      </c>
      <c r="F1092" s="140" t="s">
        <v>178</v>
      </c>
      <c r="G1092" s="129" t="s">
        <v>1236</v>
      </c>
    </row>
    <row r="1093" customFormat="false" ht="14.4" hidden="false" customHeight="false" outlineLevel="0" collapsed="false">
      <c r="A1093" s="96" t="n">
        <v>98</v>
      </c>
      <c r="B1093" s="138" t="s">
        <v>120</v>
      </c>
      <c r="C1093" s="147" t="n">
        <v>43005</v>
      </c>
      <c r="D1093" s="87" t="n">
        <v>1</v>
      </c>
      <c r="E1093" s="99" t="n">
        <v>1</v>
      </c>
      <c r="F1093" s="140" t="s">
        <v>178</v>
      </c>
      <c r="G1093" s="129" t="s">
        <v>1237</v>
      </c>
    </row>
    <row r="1094" customFormat="false" ht="14.4" hidden="false" customHeight="false" outlineLevel="0" collapsed="false">
      <c r="A1094" s="96" t="n">
        <v>111</v>
      </c>
      <c r="B1094" s="138" t="s">
        <v>133</v>
      </c>
      <c r="C1094" s="147" t="n">
        <v>43005</v>
      </c>
      <c r="D1094" s="87" t="n">
        <v>1</v>
      </c>
      <c r="E1094" s="99" t="n">
        <v>1</v>
      </c>
      <c r="F1094" s="140" t="s">
        <v>178</v>
      </c>
      <c r="G1094" s="129" t="s">
        <v>1236</v>
      </c>
    </row>
    <row r="1095" customFormat="false" ht="14.4" hidden="false" customHeight="false" outlineLevel="0" collapsed="false">
      <c r="A1095" s="96" t="n">
        <v>52</v>
      </c>
      <c r="B1095" s="138" t="s">
        <v>74</v>
      </c>
      <c r="C1095" s="147" t="n">
        <v>43005</v>
      </c>
      <c r="D1095" s="87" t="n">
        <v>1</v>
      </c>
      <c r="E1095" s="99" t="n">
        <v>1</v>
      </c>
      <c r="F1095" s="140" t="s">
        <v>178</v>
      </c>
      <c r="G1095" s="129" t="s">
        <v>1238</v>
      </c>
    </row>
    <row r="1096" customFormat="false" ht="14.4" hidden="false" customHeight="false" outlineLevel="0" collapsed="false">
      <c r="A1096" s="96" t="n">
        <v>121</v>
      </c>
      <c r="B1096" s="138" t="s">
        <v>143</v>
      </c>
      <c r="C1096" s="147" t="n">
        <v>43005</v>
      </c>
      <c r="D1096" s="87" t="n">
        <v>2</v>
      </c>
      <c r="E1096" s="99" t="n">
        <v>1</v>
      </c>
      <c r="F1096" s="140" t="s">
        <v>12</v>
      </c>
      <c r="G1096" s="129" t="s">
        <v>1239</v>
      </c>
    </row>
    <row r="1097" customFormat="false" ht="14.4" hidden="false" customHeight="false" outlineLevel="0" collapsed="false">
      <c r="A1097" s="96" t="n">
        <v>36</v>
      </c>
      <c r="B1097" s="138" t="s">
        <v>58</v>
      </c>
      <c r="C1097" s="147" t="n">
        <v>43005</v>
      </c>
      <c r="D1097" s="87" t="n">
        <v>3</v>
      </c>
      <c r="E1097" s="99" t="n">
        <v>1</v>
      </c>
      <c r="F1097" s="140" t="s">
        <v>178</v>
      </c>
      <c r="G1097" s="129" t="s">
        <v>1240</v>
      </c>
    </row>
    <row r="1098" customFormat="false" ht="14.4" hidden="false" customHeight="false" outlineLevel="0" collapsed="false">
      <c r="A1098" s="96" t="n">
        <v>37</v>
      </c>
      <c r="B1098" s="138" t="s">
        <v>59</v>
      </c>
      <c r="C1098" s="147" t="n">
        <v>43004</v>
      </c>
      <c r="D1098" s="87" t="n">
        <v>3</v>
      </c>
      <c r="E1098" s="99" t="n">
        <v>1</v>
      </c>
      <c r="F1098" s="140" t="s">
        <v>178</v>
      </c>
      <c r="G1098" s="129" t="s">
        <v>1241</v>
      </c>
    </row>
    <row r="1099" customFormat="false" ht="14.4" hidden="false" customHeight="false" outlineLevel="0" collapsed="false">
      <c r="A1099" s="96" t="n">
        <v>18</v>
      </c>
      <c r="B1099" s="138" t="s">
        <v>40</v>
      </c>
      <c r="C1099" s="147" t="n">
        <v>43005</v>
      </c>
      <c r="D1099" s="87" t="n">
        <v>1</v>
      </c>
      <c r="E1099" s="99" t="n">
        <v>1</v>
      </c>
      <c r="F1099" s="140" t="s">
        <v>178</v>
      </c>
      <c r="G1099" s="129" t="s">
        <v>1242</v>
      </c>
    </row>
    <row r="1100" customFormat="false" ht="14.4" hidden="false" customHeight="false" outlineLevel="0" collapsed="false">
      <c r="A1100" s="96" t="n">
        <v>104</v>
      </c>
      <c r="B1100" s="138" t="s">
        <v>126</v>
      </c>
      <c r="C1100" s="147" t="n">
        <v>43004</v>
      </c>
      <c r="D1100" s="87" t="n">
        <v>1</v>
      </c>
      <c r="E1100" s="99" t="n">
        <v>1</v>
      </c>
      <c r="F1100" s="140" t="s">
        <v>178</v>
      </c>
      <c r="G1100" s="148" t="s">
        <v>1243</v>
      </c>
    </row>
    <row r="1101" customFormat="false" ht="14.4" hidden="false" customHeight="false" outlineLevel="0" collapsed="false">
      <c r="A1101" s="96" t="n">
        <v>104</v>
      </c>
      <c r="B1101" s="138" t="s">
        <v>126</v>
      </c>
      <c r="C1101" s="147" t="n">
        <v>43003</v>
      </c>
      <c r="D1101" s="87" t="n">
        <v>1</v>
      </c>
      <c r="E1101" s="99" t="n">
        <v>1</v>
      </c>
      <c r="F1101" s="140" t="s">
        <v>178</v>
      </c>
      <c r="G1101" s="148" t="s">
        <v>1244</v>
      </c>
    </row>
    <row r="1102" customFormat="false" ht="14.4" hidden="false" customHeight="false" outlineLevel="0" collapsed="false">
      <c r="A1102" s="96" t="n">
        <v>104</v>
      </c>
      <c r="B1102" s="138" t="s">
        <v>126</v>
      </c>
      <c r="C1102" s="147" t="n">
        <v>43003</v>
      </c>
      <c r="D1102" s="87" t="n">
        <v>1</v>
      </c>
      <c r="E1102" s="99" t="n">
        <v>1</v>
      </c>
      <c r="F1102" s="140" t="s">
        <v>178</v>
      </c>
      <c r="G1102" s="148" t="s">
        <v>1245</v>
      </c>
    </row>
    <row r="1103" customFormat="false" ht="14.4" hidden="false" customHeight="false" outlineLevel="0" collapsed="false">
      <c r="A1103" s="96" t="n">
        <v>104</v>
      </c>
      <c r="B1103" s="138" t="s">
        <v>126</v>
      </c>
      <c r="C1103" s="147" t="n">
        <v>42980</v>
      </c>
      <c r="D1103" s="87" t="n">
        <v>2</v>
      </c>
      <c r="E1103" s="99" t="n">
        <v>1</v>
      </c>
      <c r="F1103" s="140" t="s">
        <v>178</v>
      </c>
      <c r="G1103" s="148" t="s">
        <v>1246</v>
      </c>
    </row>
    <row r="1104" customFormat="false" ht="14.4" hidden="false" customHeight="false" outlineLevel="0" collapsed="false">
      <c r="A1104" s="96" t="n">
        <v>9</v>
      </c>
      <c r="B1104" s="138" t="s">
        <v>31</v>
      </c>
      <c r="C1104" s="147" t="n">
        <v>43003</v>
      </c>
      <c r="D1104" s="87" t="n">
        <v>1</v>
      </c>
      <c r="E1104" s="99" t="n">
        <v>1</v>
      </c>
      <c r="F1104" s="140" t="s">
        <v>178</v>
      </c>
      <c r="G1104" s="148" t="s">
        <v>1247</v>
      </c>
    </row>
    <row r="1105" customFormat="false" ht="14.4" hidden="false" customHeight="false" outlineLevel="0" collapsed="false">
      <c r="A1105" s="96" t="n">
        <v>116</v>
      </c>
      <c r="B1105" s="138" t="s">
        <v>883</v>
      </c>
      <c r="C1105" s="147" t="n">
        <v>43003</v>
      </c>
      <c r="D1105" s="87" t="n">
        <v>1</v>
      </c>
      <c r="E1105" s="99" t="n">
        <v>1</v>
      </c>
      <c r="F1105" s="140" t="s">
        <v>178</v>
      </c>
      <c r="G1105" s="148" t="s">
        <v>1248</v>
      </c>
    </row>
    <row r="1106" customFormat="false" ht="14.4" hidden="false" customHeight="false" outlineLevel="0" collapsed="false">
      <c r="A1106" s="96" t="n">
        <v>115</v>
      </c>
      <c r="B1106" s="138" t="s">
        <v>867</v>
      </c>
      <c r="C1106" s="147" t="n">
        <v>43003</v>
      </c>
      <c r="D1106" s="87" t="n">
        <v>1</v>
      </c>
      <c r="E1106" s="99" t="n">
        <v>1</v>
      </c>
      <c r="F1106" s="140" t="s">
        <v>178</v>
      </c>
      <c r="G1106" s="148" t="s">
        <v>1249</v>
      </c>
    </row>
    <row r="1107" customFormat="false" ht="14.4" hidden="false" customHeight="false" outlineLevel="0" collapsed="false">
      <c r="A1107" s="96" t="n">
        <v>104</v>
      </c>
      <c r="B1107" s="138" t="s">
        <v>126</v>
      </c>
      <c r="C1107" s="147" t="n">
        <v>43003</v>
      </c>
      <c r="D1107" s="87" t="n">
        <v>1</v>
      </c>
      <c r="E1107" s="99" t="n">
        <v>1</v>
      </c>
      <c r="F1107" s="140" t="s">
        <v>178</v>
      </c>
      <c r="G1107" s="148" t="s">
        <v>1250</v>
      </c>
    </row>
    <row r="1108" customFormat="false" ht="14.4" hidden="false" customHeight="false" outlineLevel="0" collapsed="false">
      <c r="A1108" s="96" t="n">
        <v>55</v>
      </c>
      <c r="B1108" s="138" t="s">
        <v>77</v>
      </c>
      <c r="C1108" s="147" t="s">
        <v>1251</v>
      </c>
      <c r="D1108" s="87" t="n">
        <v>2</v>
      </c>
      <c r="E1108" s="99" t="n">
        <v>1</v>
      </c>
      <c r="F1108" s="140" t="s">
        <v>362</v>
      </c>
      <c r="G1108" s="148" t="s">
        <v>1252</v>
      </c>
    </row>
    <row r="1109" customFormat="false" ht="14.4" hidden="false" customHeight="false" outlineLevel="0" collapsed="false">
      <c r="A1109" s="96" t="n">
        <v>27</v>
      </c>
      <c r="B1109" s="138" t="s">
        <v>49</v>
      </c>
      <c r="C1109" s="147" t="n">
        <v>43000</v>
      </c>
      <c r="D1109" s="87" t="n">
        <v>2</v>
      </c>
      <c r="E1109" s="99" t="n">
        <v>1</v>
      </c>
      <c r="F1109" s="140" t="s">
        <v>362</v>
      </c>
      <c r="G1109" s="148" t="s">
        <v>1252</v>
      </c>
    </row>
    <row r="1110" customFormat="false" ht="14.4" hidden="false" customHeight="false" outlineLevel="0" collapsed="false">
      <c r="A1110" s="96" t="n">
        <v>18</v>
      </c>
      <c r="B1110" s="138" t="s">
        <v>40</v>
      </c>
      <c r="C1110" s="147" t="n">
        <v>43000</v>
      </c>
      <c r="D1110" s="87" t="n">
        <v>2</v>
      </c>
      <c r="E1110" s="99" t="n">
        <v>1</v>
      </c>
      <c r="F1110" s="140" t="s">
        <v>362</v>
      </c>
      <c r="G1110" s="148" t="s">
        <v>1252</v>
      </c>
    </row>
    <row r="1111" customFormat="false" ht="14.4" hidden="false" customHeight="false" outlineLevel="0" collapsed="false">
      <c r="A1111" s="96" t="n">
        <v>16</v>
      </c>
      <c r="B1111" s="138" t="s">
        <v>38</v>
      </c>
      <c r="C1111" s="147" t="n">
        <v>43000</v>
      </c>
      <c r="D1111" s="87" t="n">
        <v>2</v>
      </c>
      <c r="E1111" s="99" t="n">
        <v>1</v>
      </c>
      <c r="F1111" s="140" t="s">
        <v>362</v>
      </c>
      <c r="G1111" s="148" t="s">
        <v>1253</v>
      </c>
    </row>
    <row r="1112" customFormat="false" ht="14.4" hidden="false" customHeight="false" outlineLevel="0" collapsed="false">
      <c r="A1112" s="96" t="n">
        <v>108</v>
      </c>
      <c r="B1112" s="138" t="s">
        <v>130</v>
      </c>
      <c r="C1112" s="147" t="n">
        <v>43000</v>
      </c>
      <c r="D1112" s="87" t="n">
        <v>1</v>
      </c>
      <c r="E1112" s="99" t="n">
        <v>1</v>
      </c>
      <c r="F1112" s="140" t="s">
        <v>178</v>
      </c>
      <c r="G1112" s="149" t="s">
        <v>1254</v>
      </c>
    </row>
    <row r="1113" customFormat="false" ht="14.4" hidden="false" customHeight="false" outlineLevel="0" collapsed="false">
      <c r="A1113" s="96" t="n">
        <v>104</v>
      </c>
      <c r="B1113" s="138" t="s">
        <v>126</v>
      </c>
      <c r="C1113" s="147" t="n">
        <v>42969</v>
      </c>
      <c r="D1113" s="87" t="n">
        <v>1</v>
      </c>
      <c r="E1113" s="99" t="n">
        <v>1</v>
      </c>
      <c r="F1113" s="140" t="s">
        <v>178</v>
      </c>
      <c r="G1113" s="149" t="s">
        <v>1255</v>
      </c>
    </row>
    <row r="1114" customFormat="false" ht="14.4" hidden="false" customHeight="false" outlineLevel="0" collapsed="false">
      <c r="A1114" s="96" t="n">
        <v>16</v>
      </c>
      <c r="B1114" s="138" t="s">
        <v>38</v>
      </c>
      <c r="C1114" s="147" t="n">
        <v>42999</v>
      </c>
      <c r="D1114" s="87" t="n">
        <v>1</v>
      </c>
      <c r="E1114" s="99" t="n">
        <v>1</v>
      </c>
      <c r="F1114" s="140" t="s">
        <v>178</v>
      </c>
      <c r="G1114" s="149" t="s">
        <v>1256</v>
      </c>
    </row>
    <row r="1115" customFormat="false" ht="14.4" hidden="false" customHeight="false" outlineLevel="0" collapsed="false">
      <c r="A1115" s="96" t="n">
        <v>18</v>
      </c>
      <c r="B1115" s="138" t="s">
        <v>40</v>
      </c>
      <c r="C1115" s="147" t="n">
        <v>42999</v>
      </c>
      <c r="D1115" s="87" t="n">
        <v>1</v>
      </c>
      <c r="E1115" s="99" t="n">
        <v>1</v>
      </c>
      <c r="F1115" s="140" t="s">
        <v>178</v>
      </c>
      <c r="G1115" s="149" t="s">
        <v>1257</v>
      </c>
    </row>
    <row r="1116" customFormat="false" ht="14.4" hidden="false" customHeight="false" outlineLevel="0" collapsed="false">
      <c r="A1116" s="96" t="n">
        <v>104</v>
      </c>
      <c r="B1116" s="138" t="s">
        <v>126</v>
      </c>
      <c r="C1116" s="147" t="n">
        <v>42998</v>
      </c>
      <c r="D1116" s="87" t="n">
        <v>1</v>
      </c>
      <c r="E1116" s="99" t="n">
        <v>1</v>
      </c>
      <c r="F1116" s="140" t="s">
        <v>178</v>
      </c>
      <c r="G1116" s="149" t="s">
        <v>1258</v>
      </c>
    </row>
    <row r="1117" customFormat="false" ht="14.4" hidden="false" customHeight="false" outlineLevel="0" collapsed="false">
      <c r="A1117" s="96" t="n">
        <v>104</v>
      </c>
      <c r="B1117" s="138" t="s">
        <v>126</v>
      </c>
      <c r="C1117" s="147" t="n">
        <v>42998</v>
      </c>
      <c r="D1117" s="87" t="n">
        <v>1</v>
      </c>
      <c r="E1117" s="99" t="n">
        <v>1</v>
      </c>
      <c r="F1117" s="140" t="s">
        <v>11</v>
      </c>
      <c r="G1117" s="132" t="s">
        <v>1259</v>
      </c>
    </row>
    <row r="1118" customFormat="false" ht="14.4" hidden="false" customHeight="false" outlineLevel="0" collapsed="false">
      <c r="A1118" s="96" t="n">
        <v>18</v>
      </c>
      <c r="B1118" s="138" t="s">
        <v>40</v>
      </c>
      <c r="C1118" s="147" t="n">
        <v>42996</v>
      </c>
      <c r="D1118" s="87" t="n">
        <v>1</v>
      </c>
      <c r="E1118" s="99" t="n">
        <v>1</v>
      </c>
      <c r="F1118" s="140" t="s">
        <v>178</v>
      </c>
      <c r="G1118" s="132" t="s">
        <v>1260</v>
      </c>
    </row>
    <row r="1119" customFormat="false" ht="14.4" hidden="false" customHeight="false" outlineLevel="0" collapsed="false">
      <c r="A1119" s="96" t="n">
        <v>104</v>
      </c>
      <c r="B1119" s="138" t="s">
        <v>126</v>
      </c>
      <c r="C1119" s="147" t="n">
        <v>42996</v>
      </c>
      <c r="D1119" s="87" t="n">
        <v>1</v>
      </c>
      <c r="E1119" s="99" t="n">
        <v>1</v>
      </c>
      <c r="F1119" s="140" t="s">
        <v>178</v>
      </c>
      <c r="G1119" s="132" t="s">
        <v>1261</v>
      </c>
    </row>
    <row r="1120" customFormat="false" ht="14.4" hidden="false" customHeight="false" outlineLevel="0" collapsed="false">
      <c r="A1120" s="96" t="n">
        <v>104</v>
      </c>
      <c r="B1120" s="138" t="s">
        <v>126</v>
      </c>
      <c r="C1120" s="147" t="n">
        <v>42992</v>
      </c>
      <c r="D1120" s="87" t="n">
        <v>1</v>
      </c>
      <c r="E1120" s="99" t="n">
        <v>1</v>
      </c>
      <c r="F1120" s="140" t="s">
        <v>178</v>
      </c>
      <c r="G1120" s="132" t="s">
        <v>1262</v>
      </c>
    </row>
    <row r="1121" customFormat="false" ht="14.4" hidden="false" customHeight="false" outlineLevel="0" collapsed="false">
      <c r="A1121" s="96" t="n">
        <v>104</v>
      </c>
      <c r="B1121" s="138" t="s">
        <v>126</v>
      </c>
      <c r="C1121" s="147" t="n">
        <v>42991</v>
      </c>
      <c r="D1121" s="87" t="n">
        <v>1</v>
      </c>
      <c r="E1121" s="99" t="n">
        <v>1</v>
      </c>
      <c r="F1121" s="140" t="s">
        <v>178</v>
      </c>
      <c r="G1121" s="150" t="s">
        <v>1263</v>
      </c>
    </row>
    <row r="1122" customFormat="false" ht="14.4" hidden="false" customHeight="false" outlineLevel="0" collapsed="false">
      <c r="A1122" s="96" t="n">
        <v>104</v>
      </c>
      <c r="B1122" s="138" t="s">
        <v>126</v>
      </c>
      <c r="C1122" s="147" t="n">
        <v>42991</v>
      </c>
      <c r="D1122" s="87" t="n">
        <v>1</v>
      </c>
      <c r="E1122" s="99" t="n">
        <v>1</v>
      </c>
      <c r="F1122" s="140" t="s">
        <v>178</v>
      </c>
      <c r="G1122" s="150" t="s">
        <v>1264</v>
      </c>
    </row>
    <row r="1123" customFormat="false" ht="14.4" hidden="false" customHeight="false" outlineLevel="0" collapsed="false">
      <c r="A1123" s="96" t="n">
        <v>104</v>
      </c>
      <c r="B1123" s="138" t="s">
        <v>126</v>
      </c>
      <c r="C1123" s="147" t="n">
        <v>42987</v>
      </c>
      <c r="D1123" s="87" t="n">
        <v>1</v>
      </c>
      <c r="E1123" s="99" t="n">
        <v>1</v>
      </c>
      <c r="F1123" s="140" t="s">
        <v>11</v>
      </c>
      <c r="G1123" s="150" t="s">
        <v>1265</v>
      </c>
    </row>
    <row r="1124" customFormat="false" ht="27.4" hidden="false" customHeight="false" outlineLevel="0" collapsed="false">
      <c r="A1124" s="96" t="n">
        <v>27</v>
      </c>
      <c r="B1124" s="138" t="s">
        <v>49</v>
      </c>
      <c r="C1124" s="147" t="n">
        <v>42984</v>
      </c>
      <c r="D1124" s="87" t="n">
        <v>1</v>
      </c>
      <c r="E1124" s="99" t="n">
        <v>1</v>
      </c>
      <c r="F1124" s="140" t="s">
        <v>11</v>
      </c>
      <c r="G1124" s="150" t="s">
        <v>1266</v>
      </c>
    </row>
    <row r="1125" customFormat="false" ht="27.4" hidden="false" customHeight="false" outlineLevel="0" collapsed="false">
      <c r="A1125" s="96" t="n">
        <v>18</v>
      </c>
      <c r="B1125" s="138" t="s">
        <v>40</v>
      </c>
      <c r="C1125" s="147" t="n">
        <v>42984</v>
      </c>
      <c r="D1125" s="87" t="n">
        <v>1</v>
      </c>
      <c r="E1125" s="99" t="n">
        <v>1</v>
      </c>
      <c r="F1125" s="140" t="s">
        <v>11</v>
      </c>
      <c r="G1125" s="150" t="s">
        <v>1266</v>
      </c>
    </row>
    <row r="1126" customFormat="false" ht="27.4" hidden="false" customHeight="false" outlineLevel="0" collapsed="false">
      <c r="A1126" s="96" t="n">
        <v>16</v>
      </c>
      <c r="B1126" s="138" t="s">
        <v>38</v>
      </c>
      <c r="C1126" s="147" t="n">
        <v>42984</v>
      </c>
      <c r="D1126" s="87" t="n">
        <v>1</v>
      </c>
      <c r="E1126" s="99" t="n">
        <v>1</v>
      </c>
      <c r="F1126" s="140" t="s">
        <v>11</v>
      </c>
      <c r="G1126" s="150" t="s">
        <v>1266</v>
      </c>
    </row>
    <row r="1127" customFormat="false" ht="14.4" hidden="false" customHeight="false" outlineLevel="0" collapsed="false">
      <c r="A1127" s="96" t="n">
        <v>104</v>
      </c>
      <c r="B1127" s="138" t="s">
        <v>126</v>
      </c>
      <c r="C1127" s="147" t="n">
        <v>42986</v>
      </c>
      <c r="D1127" s="87" t="n">
        <v>1</v>
      </c>
      <c r="E1127" s="99" t="n">
        <v>1</v>
      </c>
      <c r="F1127" s="140" t="s">
        <v>178</v>
      </c>
      <c r="G1127" s="150" t="s">
        <v>1267</v>
      </c>
    </row>
    <row r="1128" customFormat="false" ht="14.4" hidden="false" customHeight="false" outlineLevel="0" collapsed="false">
      <c r="A1128" s="96" t="n">
        <v>104</v>
      </c>
      <c r="B1128" s="138" t="s">
        <v>126</v>
      </c>
      <c r="C1128" s="147" t="n">
        <v>42986</v>
      </c>
      <c r="D1128" s="87" t="n">
        <v>1</v>
      </c>
      <c r="E1128" s="99" t="n">
        <v>1</v>
      </c>
      <c r="F1128" s="140" t="s">
        <v>178</v>
      </c>
      <c r="G1128" s="150" t="s">
        <v>1268</v>
      </c>
    </row>
    <row r="1129" customFormat="false" ht="14.4" hidden="false" customHeight="false" outlineLevel="0" collapsed="false">
      <c r="A1129" s="96" t="n">
        <v>30</v>
      </c>
      <c r="B1129" s="138" t="s">
        <v>52</v>
      </c>
      <c r="C1129" s="147" t="n">
        <v>42984</v>
      </c>
      <c r="D1129" s="87" t="n">
        <v>1</v>
      </c>
      <c r="E1129" s="99" t="n">
        <v>1</v>
      </c>
      <c r="F1129" s="140" t="s">
        <v>178</v>
      </c>
      <c r="G1129" s="150" t="s">
        <v>1269</v>
      </c>
    </row>
    <row r="1130" customFormat="false" ht="14.4" hidden="false" customHeight="false" outlineLevel="0" collapsed="false">
      <c r="A1130" s="96" t="n">
        <v>116</v>
      </c>
      <c r="B1130" s="138" t="s">
        <v>883</v>
      </c>
      <c r="C1130" s="147" t="n">
        <v>42984</v>
      </c>
      <c r="D1130" s="87" t="n">
        <v>1</v>
      </c>
      <c r="E1130" s="99" t="n">
        <v>1</v>
      </c>
      <c r="F1130" s="140" t="s">
        <v>14</v>
      </c>
      <c r="G1130" s="150" t="s">
        <v>1270</v>
      </c>
    </row>
    <row r="1131" customFormat="false" ht="14.4" hidden="false" customHeight="false" outlineLevel="0" collapsed="false">
      <c r="A1131" s="96" t="n">
        <v>104</v>
      </c>
      <c r="B1131" s="138" t="s">
        <v>126</v>
      </c>
      <c r="C1131" s="147" t="n">
        <v>42984</v>
      </c>
      <c r="D1131" s="87" t="n">
        <v>1</v>
      </c>
      <c r="E1131" s="99" t="n">
        <v>1</v>
      </c>
      <c r="F1131" s="140" t="s">
        <v>178</v>
      </c>
      <c r="G1131" s="150" t="s">
        <v>1271</v>
      </c>
    </row>
    <row r="1132" customFormat="false" ht="14.4" hidden="false" customHeight="false" outlineLevel="0" collapsed="false">
      <c r="A1132" s="96" t="n">
        <v>114</v>
      </c>
      <c r="B1132" s="138" t="s">
        <v>923</v>
      </c>
      <c r="C1132" s="147" t="n">
        <v>42983</v>
      </c>
      <c r="D1132" s="87" t="n">
        <v>1</v>
      </c>
      <c r="E1132" s="99" t="n">
        <v>1</v>
      </c>
      <c r="F1132" s="140" t="s">
        <v>178</v>
      </c>
      <c r="G1132" s="150" t="s">
        <v>1272</v>
      </c>
    </row>
    <row r="1133" customFormat="false" ht="14.4" hidden="false" customHeight="false" outlineLevel="0" collapsed="false">
      <c r="A1133" s="96" t="n">
        <v>116</v>
      </c>
      <c r="B1133" s="138" t="s">
        <v>883</v>
      </c>
      <c r="C1133" s="147" t="n">
        <v>42983</v>
      </c>
      <c r="D1133" s="87" t="n">
        <v>1</v>
      </c>
      <c r="E1133" s="99" t="n">
        <v>1</v>
      </c>
      <c r="F1133" s="140" t="s">
        <v>178</v>
      </c>
      <c r="G1133" s="150" t="s">
        <v>1273</v>
      </c>
    </row>
    <row r="1134" customFormat="false" ht="14.4" hidden="false" customHeight="false" outlineLevel="0" collapsed="false">
      <c r="A1134" s="96" t="n">
        <v>114</v>
      </c>
      <c r="B1134" s="138" t="s">
        <v>923</v>
      </c>
      <c r="C1134" s="147" t="n">
        <v>42983</v>
      </c>
      <c r="D1134" s="87" t="n">
        <v>1</v>
      </c>
      <c r="E1134" s="99" t="n">
        <v>1</v>
      </c>
      <c r="F1134" s="140" t="s">
        <v>178</v>
      </c>
      <c r="G1134" s="150" t="s">
        <v>1273</v>
      </c>
    </row>
    <row r="1135" customFormat="false" ht="14.4" hidden="false" customHeight="false" outlineLevel="0" collapsed="false">
      <c r="A1135" s="96" t="n">
        <v>104</v>
      </c>
      <c r="B1135" s="138" t="s">
        <v>126</v>
      </c>
      <c r="C1135" s="147" t="n">
        <v>42952</v>
      </c>
      <c r="D1135" s="87" t="n">
        <v>1</v>
      </c>
      <c r="E1135" s="99" t="n">
        <v>1</v>
      </c>
      <c r="F1135" s="140" t="s">
        <v>178</v>
      </c>
      <c r="G1135" s="150" t="s">
        <v>1274</v>
      </c>
    </row>
    <row r="1136" customFormat="false" ht="14.4" hidden="false" customHeight="false" outlineLevel="0" collapsed="false">
      <c r="A1136" s="96" t="n">
        <v>104</v>
      </c>
      <c r="B1136" s="138" t="s">
        <v>126</v>
      </c>
      <c r="C1136" s="147" t="n">
        <v>42983</v>
      </c>
      <c r="D1136" s="87" t="n">
        <v>1</v>
      </c>
      <c r="E1136" s="99" t="n">
        <v>1</v>
      </c>
      <c r="F1136" s="140" t="s">
        <v>178</v>
      </c>
      <c r="G1136" s="150" t="s">
        <v>1275</v>
      </c>
    </row>
    <row r="1137" customFormat="false" ht="14.4" hidden="false" customHeight="false" outlineLevel="0" collapsed="false">
      <c r="A1137" s="96" t="n">
        <v>104</v>
      </c>
      <c r="B1137" s="138" t="s">
        <v>126</v>
      </c>
      <c r="C1137" s="147" t="n">
        <v>42981</v>
      </c>
      <c r="D1137" s="87" t="n">
        <v>1</v>
      </c>
      <c r="E1137" s="99" t="n">
        <v>1</v>
      </c>
      <c r="F1137" s="140" t="s">
        <v>178</v>
      </c>
      <c r="G1137" s="150" t="s">
        <v>1276</v>
      </c>
    </row>
    <row r="1138" customFormat="false" ht="14.4" hidden="false" customHeight="false" outlineLevel="0" collapsed="false">
      <c r="A1138" s="96" t="n">
        <v>9</v>
      </c>
      <c r="B1138" s="138" t="s">
        <v>31</v>
      </c>
      <c r="C1138" s="147" t="n">
        <v>42979</v>
      </c>
      <c r="D1138" s="87" t="n">
        <v>1</v>
      </c>
      <c r="E1138" s="99" t="n">
        <v>1</v>
      </c>
      <c r="F1138" s="140" t="s">
        <v>178</v>
      </c>
      <c r="G1138" s="150" t="s">
        <v>1277</v>
      </c>
    </row>
    <row r="1139" customFormat="false" ht="14.4" hidden="false" customHeight="false" outlineLevel="0" collapsed="false">
      <c r="A1139" s="96" t="n">
        <v>104</v>
      </c>
      <c r="B1139" s="138" t="s">
        <v>126</v>
      </c>
      <c r="C1139" s="147" t="n">
        <v>42982</v>
      </c>
      <c r="D1139" s="87" t="n">
        <v>1</v>
      </c>
      <c r="E1139" s="99" t="n">
        <v>1</v>
      </c>
      <c r="F1139" s="140" t="s">
        <v>178</v>
      </c>
      <c r="G1139" s="150" t="s">
        <v>1278</v>
      </c>
    </row>
    <row r="1140" customFormat="false" ht="14.4" hidden="false" customHeight="false" outlineLevel="0" collapsed="false">
      <c r="A1140" s="96" t="n">
        <v>104</v>
      </c>
      <c r="B1140" s="138" t="s">
        <v>126</v>
      </c>
      <c r="C1140" s="147" t="n">
        <v>42979</v>
      </c>
      <c r="D1140" s="87" t="n">
        <v>1</v>
      </c>
      <c r="E1140" s="99" t="n">
        <v>1</v>
      </c>
      <c r="F1140" s="140" t="s">
        <v>178</v>
      </c>
      <c r="G1140" s="150" t="s">
        <v>1279</v>
      </c>
    </row>
    <row r="1141" customFormat="false" ht="14.4" hidden="false" customHeight="false" outlineLevel="0" collapsed="false">
      <c r="A1141" s="96" t="n">
        <v>104</v>
      </c>
      <c r="B1141" s="138" t="s">
        <v>126</v>
      </c>
      <c r="C1141" s="147" t="n">
        <v>42979</v>
      </c>
      <c r="D1141" s="87" t="n">
        <v>1</v>
      </c>
      <c r="E1141" s="99" t="n">
        <v>1</v>
      </c>
      <c r="F1141" s="140" t="s">
        <v>178</v>
      </c>
      <c r="G1141" s="150" t="s">
        <v>1280</v>
      </c>
    </row>
    <row r="1142" customFormat="false" ht="14.4" hidden="false" customHeight="false" outlineLevel="0" collapsed="false">
      <c r="A1142" s="96" t="n">
        <v>104</v>
      </c>
      <c r="B1142" s="138" t="s">
        <v>126</v>
      </c>
      <c r="C1142" s="147" t="n">
        <v>42979</v>
      </c>
      <c r="D1142" s="87" t="n">
        <v>1</v>
      </c>
      <c r="E1142" s="99" t="n">
        <v>1</v>
      </c>
      <c r="F1142" s="140" t="s">
        <v>178</v>
      </c>
      <c r="G1142" s="150" t="s">
        <v>1281</v>
      </c>
    </row>
    <row r="1143" customFormat="false" ht="14.4" hidden="false" customHeight="false" outlineLevel="0" collapsed="false">
      <c r="A1143" s="96" t="n">
        <v>104</v>
      </c>
      <c r="B1143" s="138" t="s">
        <v>126</v>
      </c>
      <c r="C1143" s="147" t="n">
        <v>42979</v>
      </c>
      <c r="D1143" s="87" t="n">
        <v>1</v>
      </c>
      <c r="E1143" s="99" t="n">
        <v>1</v>
      </c>
      <c r="F1143" s="140" t="s">
        <v>178</v>
      </c>
      <c r="G1143" s="150" t="s">
        <v>1282</v>
      </c>
    </row>
    <row r="1144" customFormat="false" ht="14.4" hidden="false" customHeight="false" outlineLevel="0" collapsed="false">
      <c r="A1144" s="96" t="n">
        <v>104</v>
      </c>
      <c r="B1144" s="138" t="s">
        <v>126</v>
      </c>
      <c r="C1144" s="147" t="n">
        <v>42978</v>
      </c>
      <c r="D1144" s="87" t="n">
        <v>1</v>
      </c>
      <c r="E1144" s="99" t="n">
        <v>1</v>
      </c>
      <c r="F1144" s="140" t="s">
        <v>178</v>
      </c>
      <c r="G1144" s="150" t="s">
        <v>1283</v>
      </c>
    </row>
    <row r="1145" customFormat="false" ht="14.4" hidden="false" customHeight="false" outlineLevel="0" collapsed="false">
      <c r="A1145" s="96" t="n">
        <v>104</v>
      </c>
      <c r="B1145" s="138" t="s">
        <v>126</v>
      </c>
      <c r="C1145" s="147" t="n">
        <v>42978</v>
      </c>
      <c r="D1145" s="87" t="n">
        <v>1</v>
      </c>
      <c r="E1145" s="99" t="n">
        <v>1</v>
      </c>
      <c r="F1145" s="140" t="s">
        <v>178</v>
      </c>
      <c r="G1145" s="150" t="s">
        <v>1284</v>
      </c>
    </row>
    <row r="1146" customFormat="false" ht="14.4" hidden="false" customHeight="false" outlineLevel="0" collapsed="false">
      <c r="A1146" s="96" t="n">
        <v>104</v>
      </c>
      <c r="B1146" s="138" t="s">
        <v>126</v>
      </c>
      <c r="C1146" s="147" t="n">
        <v>42978</v>
      </c>
      <c r="D1146" s="87" t="n">
        <v>1</v>
      </c>
      <c r="E1146" s="99" t="n">
        <v>1</v>
      </c>
      <c r="F1146" s="140" t="s">
        <v>178</v>
      </c>
      <c r="G1146" s="150" t="s">
        <v>1285</v>
      </c>
    </row>
    <row r="1147" customFormat="false" ht="14.4" hidden="false" customHeight="false" outlineLevel="0" collapsed="false">
      <c r="A1147" s="96" t="n">
        <v>104</v>
      </c>
      <c r="B1147" s="138" t="s">
        <v>126</v>
      </c>
      <c r="C1147" s="147" t="n">
        <v>42977</v>
      </c>
      <c r="D1147" s="87" t="n">
        <v>1</v>
      </c>
      <c r="E1147" s="99" t="n">
        <v>1</v>
      </c>
      <c r="F1147" s="140" t="s">
        <v>178</v>
      </c>
      <c r="G1147" s="150" t="s">
        <v>1286</v>
      </c>
    </row>
    <row r="1148" customFormat="false" ht="14.4" hidden="false" customHeight="false" outlineLevel="0" collapsed="false">
      <c r="A1148" s="96" t="n">
        <v>104</v>
      </c>
      <c r="B1148" s="138" t="s">
        <v>126</v>
      </c>
      <c r="C1148" s="147" t="n">
        <v>42977</v>
      </c>
      <c r="D1148" s="87" t="n">
        <v>1</v>
      </c>
      <c r="E1148" s="99" t="n">
        <v>1</v>
      </c>
      <c r="F1148" s="140" t="s">
        <v>178</v>
      </c>
      <c r="G1148" s="150" t="s">
        <v>1287</v>
      </c>
    </row>
    <row r="1149" customFormat="false" ht="14.4" hidden="false" customHeight="false" outlineLevel="0" collapsed="false">
      <c r="A1149" s="96" t="n">
        <v>124</v>
      </c>
      <c r="B1149" s="138" t="s">
        <v>146</v>
      </c>
      <c r="C1149" s="147" t="n">
        <v>42976</v>
      </c>
      <c r="D1149" s="87" t="n">
        <v>1</v>
      </c>
      <c r="E1149" s="99" t="n">
        <v>1</v>
      </c>
      <c r="F1149" s="140" t="s">
        <v>178</v>
      </c>
      <c r="G1149" s="150" t="s">
        <v>1288</v>
      </c>
    </row>
    <row r="1150" customFormat="false" ht="14.4" hidden="false" customHeight="false" outlineLevel="0" collapsed="false">
      <c r="A1150" s="96" t="n">
        <v>104</v>
      </c>
      <c r="B1150" s="138" t="s">
        <v>126</v>
      </c>
      <c r="C1150" s="147" t="n">
        <v>42975</v>
      </c>
      <c r="D1150" s="87" t="n">
        <v>1</v>
      </c>
      <c r="E1150" s="99" t="n">
        <v>1</v>
      </c>
      <c r="F1150" s="140" t="s">
        <v>178</v>
      </c>
      <c r="G1150" s="150" t="s">
        <v>1289</v>
      </c>
    </row>
    <row r="1151" customFormat="false" ht="14.4" hidden="false" customHeight="false" outlineLevel="0" collapsed="false">
      <c r="A1151" s="96" t="n">
        <v>104</v>
      </c>
      <c r="B1151" s="138" t="s">
        <v>126</v>
      </c>
      <c r="C1151" s="147" t="n">
        <v>42975</v>
      </c>
      <c r="D1151" s="87" t="n">
        <v>1</v>
      </c>
      <c r="E1151" s="99" t="n">
        <v>1</v>
      </c>
      <c r="F1151" s="140" t="s">
        <v>178</v>
      </c>
      <c r="G1151" s="150" t="s">
        <v>1290</v>
      </c>
    </row>
    <row r="1152" customFormat="false" ht="14.4" hidden="false" customHeight="false" outlineLevel="0" collapsed="false">
      <c r="A1152" s="96" t="n">
        <v>104</v>
      </c>
      <c r="B1152" s="138" t="s">
        <v>126</v>
      </c>
      <c r="C1152" s="147" t="n">
        <v>42971</v>
      </c>
      <c r="D1152" s="87" t="n">
        <v>1</v>
      </c>
      <c r="E1152" s="99" t="n">
        <v>1</v>
      </c>
      <c r="F1152" s="140" t="s">
        <v>178</v>
      </c>
      <c r="G1152" s="150" t="s">
        <v>1291</v>
      </c>
    </row>
    <row r="1153" customFormat="false" ht="14.4" hidden="false" customHeight="false" outlineLevel="0" collapsed="false">
      <c r="A1153" s="96" t="n">
        <v>9</v>
      </c>
      <c r="B1153" s="138" t="s">
        <v>31</v>
      </c>
      <c r="C1153" s="147" t="n">
        <v>42972</v>
      </c>
      <c r="D1153" s="87" t="n">
        <v>1</v>
      </c>
      <c r="E1153" s="99" t="n">
        <v>1</v>
      </c>
      <c r="F1153" s="140" t="s">
        <v>178</v>
      </c>
      <c r="G1153" s="150" t="s">
        <v>1292</v>
      </c>
    </row>
    <row r="1154" customFormat="false" ht="27.4" hidden="false" customHeight="false" outlineLevel="0" collapsed="false">
      <c r="A1154" s="96" t="n">
        <v>104</v>
      </c>
      <c r="B1154" s="138" t="s">
        <v>126</v>
      </c>
      <c r="C1154" s="147" t="n">
        <v>42971</v>
      </c>
      <c r="D1154" s="87" t="n">
        <v>1</v>
      </c>
      <c r="E1154" s="99" t="n">
        <v>1</v>
      </c>
      <c r="F1154" s="140" t="s">
        <v>178</v>
      </c>
      <c r="G1154" s="150" t="s">
        <v>1293</v>
      </c>
    </row>
    <row r="1155" customFormat="false" ht="27.4" hidden="false" customHeight="false" outlineLevel="0" collapsed="false">
      <c r="A1155" s="96" t="n">
        <v>104</v>
      </c>
      <c r="B1155" s="138" t="s">
        <v>126</v>
      </c>
      <c r="C1155" s="147" t="n">
        <v>42971</v>
      </c>
      <c r="D1155" s="87" t="n">
        <v>1</v>
      </c>
      <c r="E1155" s="99" t="n">
        <v>1</v>
      </c>
      <c r="F1155" s="140" t="s">
        <v>178</v>
      </c>
      <c r="G1155" s="150" t="s">
        <v>1294</v>
      </c>
    </row>
    <row r="1156" customFormat="false" ht="14.4" hidden="false" customHeight="false" outlineLevel="0" collapsed="false">
      <c r="A1156" s="96" t="n">
        <v>104</v>
      </c>
      <c r="B1156" s="138" t="s">
        <v>126</v>
      </c>
      <c r="C1156" s="147" t="n">
        <v>42969</v>
      </c>
      <c r="D1156" s="87" t="n">
        <v>1</v>
      </c>
      <c r="E1156" s="99" t="n">
        <v>1</v>
      </c>
      <c r="F1156" s="140" t="s">
        <v>178</v>
      </c>
      <c r="G1156" s="150" t="s">
        <v>1295</v>
      </c>
    </row>
    <row r="1157" customFormat="false" ht="14.4" hidden="false" customHeight="false" outlineLevel="0" collapsed="false">
      <c r="A1157" s="96" t="n">
        <v>113</v>
      </c>
      <c r="B1157" s="138" t="s">
        <v>1296</v>
      </c>
      <c r="C1157" s="147" t="n">
        <v>42969</v>
      </c>
      <c r="D1157" s="87" t="n">
        <v>1</v>
      </c>
      <c r="E1157" s="99" t="n">
        <v>1</v>
      </c>
      <c r="F1157" s="140" t="s">
        <v>178</v>
      </c>
      <c r="G1157" s="150" t="s">
        <v>1297</v>
      </c>
    </row>
    <row r="1158" customFormat="false" ht="14.4" hidden="false" customHeight="false" outlineLevel="0" collapsed="false">
      <c r="A1158" s="96" t="n">
        <v>104</v>
      </c>
      <c r="B1158" s="138" t="s">
        <v>126</v>
      </c>
      <c r="C1158" s="147" t="n">
        <v>42968</v>
      </c>
      <c r="D1158" s="87" t="n">
        <v>1</v>
      </c>
      <c r="E1158" s="99" t="n">
        <v>1</v>
      </c>
      <c r="F1158" s="140" t="s">
        <v>178</v>
      </c>
      <c r="G1158" s="150" t="s">
        <v>1298</v>
      </c>
    </row>
    <row r="1159" customFormat="false" ht="14.4" hidden="false" customHeight="false" outlineLevel="0" collapsed="false">
      <c r="A1159" s="96" t="n">
        <v>104</v>
      </c>
      <c r="B1159" s="138" t="s">
        <v>126</v>
      </c>
      <c r="C1159" s="147" t="n">
        <v>42967</v>
      </c>
      <c r="D1159" s="87" t="n">
        <v>1</v>
      </c>
      <c r="E1159" s="99" t="n">
        <v>1</v>
      </c>
      <c r="F1159" s="140" t="s">
        <v>178</v>
      </c>
      <c r="G1159" s="150" t="s">
        <v>1299</v>
      </c>
    </row>
    <row r="1160" customFormat="false" ht="14.4" hidden="false" customHeight="false" outlineLevel="0" collapsed="false">
      <c r="A1160" s="96" t="n">
        <v>104</v>
      </c>
      <c r="B1160" s="138" t="s">
        <v>126</v>
      </c>
      <c r="C1160" s="147" t="n">
        <v>42966</v>
      </c>
      <c r="D1160" s="87" t="n">
        <v>1</v>
      </c>
      <c r="E1160" s="99" t="n">
        <v>1</v>
      </c>
      <c r="F1160" s="140" t="s">
        <v>178</v>
      </c>
      <c r="G1160" s="150" t="s">
        <v>1300</v>
      </c>
    </row>
    <row r="1161" customFormat="false" ht="27.4" hidden="false" customHeight="false" outlineLevel="0" collapsed="false">
      <c r="A1161" s="96" t="n">
        <v>104</v>
      </c>
      <c r="B1161" s="138" t="s">
        <v>126</v>
      </c>
      <c r="C1161" s="147" t="n">
        <v>42965</v>
      </c>
      <c r="D1161" s="87" t="n">
        <v>1</v>
      </c>
      <c r="E1161" s="99" t="n">
        <v>1</v>
      </c>
      <c r="F1161" s="140" t="s">
        <v>178</v>
      </c>
      <c r="G1161" s="150" t="s">
        <v>1301</v>
      </c>
    </row>
    <row r="1162" customFormat="false" ht="14.4" hidden="false" customHeight="false" outlineLevel="0" collapsed="false">
      <c r="A1162" s="96" t="n">
        <v>104</v>
      </c>
      <c r="B1162" s="138" t="s">
        <v>126</v>
      </c>
      <c r="C1162" s="147" t="n">
        <v>42965</v>
      </c>
      <c r="D1162" s="87" t="n">
        <v>5</v>
      </c>
      <c r="E1162" s="99" t="n">
        <v>1</v>
      </c>
      <c r="F1162" s="140" t="s">
        <v>14</v>
      </c>
      <c r="G1162" s="150" t="s">
        <v>1302</v>
      </c>
    </row>
    <row r="1163" customFormat="false" ht="14.4" hidden="false" customHeight="false" outlineLevel="0" collapsed="false">
      <c r="A1163" s="96" t="n">
        <v>104</v>
      </c>
      <c r="B1163" s="138" t="s">
        <v>126</v>
      </c>
      <c r="C1163" s="147" t="n">
        <v>42965</v>
      </c>
      <c r="D1163" s="87" t="n">
        <v>1</v>
      </c>
      <c r="E1163" s="99" t="n">
        <v>1</v>
      </c>
      <c r="F1163" s="140" t="s">
        <v>178</v>
      </c>
      <c r="G1163" s="150" t="s">
        <v>1303</v>
      </c>
    </row>
    <row r="1164" customFormat="false" ht="14.4" hidden="false" customHeight="false" outlineLevel="0" collapsed="false">
      <c r="A1164" s="96" t="n">
        <v>104</v>
      </c>
      <c r="B1164" s="138" t="s">
        <v>126</v>
      </c>
      <c r="C1164" s="147" t="n">
        <v>42964</v>
      </c>
      <c r="D1164" s="87" t="n">
        <v>1</v>
      </c>
      <c r="E1164" s="99" t="n">
        <v>1</v>
      </c>
      <c r="F1164" s="140" t="s">
        <v>178</v>
      </c>
      <c r="G1164" s="150" t="s">
        <v>1304</v>
      </c>
    </row>
    <row r="1165" customFormat="false" ht="14.4" hidden="false" customHeight="false" outlineLevel="0" collapsed="false">
      <c r="A1165" s="96" t="n">
        <v>104</v>
      </c>
      <c r="B1165" s="138" t="s">
        <v>126</v>
      </c>
      <c r="C1165" s="147" t="n">
        <v>42963</v>
      </c>
      <c r="D1165" s="87" t="n">
        <v>1</v>
      </c>
      <c r="E1165" s="99" t="n">
        <v>1</v>
      </c>
      <c r="F1165" s="140" t="s">
        <v>178</v>
      </c>
      <c r="G1165" s="150" t="s">
        <v>1305</v>
      </c>
    </row>
    <row r="1166" customFormat="false" ht="27.4" hidden="false" customHeight="false" outlineLevel="0" collapsed="false">
      <c r="A1166" s="96" t="n">
        <v>104</v>
      </c>
      <c r="B1166" s="138" t="s">
        <v>126</v>
      </c>
      <c r="C1166" s="147" t="n">
        <v>42963</v>
      </c>
      <c r="D1166" s="87" t="n">
        <v>1</v>
      </c>
      <c r="E1166" s="99" t="n">
        <v>1</v>
      </c>
      <c r="F1166" s="140" t="s">
        <v>178</v>
      </c>
      <c r="G1166" s="150" t="s">
        <v>1306</v>
      </c>
    </row>
    <row r="1167" customFormat="false" ht="27.4" hidden="false" customHeight="false" outlineLevel="0" collapsed="false">
      <c r="A1167" s="96" t="n">
        <v>9</v>
      </c>
      <c r="B1167" s="138" t="s">
        <v>31</v>
      </c>
      <c r="C1167" s="147" t="n">
        <v>42963</v>
      </c>
      <c r="D1167" s="87" t="n">
        <v>2</v>
      </c>
      <c r="E1167" s="99" t="n">
        <v>1</v>
      </c>
      <c r="F1167" s="140" t="s">
        <v>178</v>
      </c>
      <c r="G1167" s="150" t="s">
        <v>1307</v>
      </c>
    </row>
    <row r="1168" customFormat="false" ht="14.4" hidden="false" customHeight="false" outlineLevel="0" collapsed="false">
      <c r="A1168" s="96" t="n">
        <v>104</v>
      </c>
      <c r="B1168" s="138" t="s">
        <v>126</v>
      </c>
      <c r="C1168" s="147" t="n">
        <v>42962</v>
      </c>
      <c r="D1168" s="87" t="n">
        <v>1</v>
      </c>
      <c r="E1168" s="99" t="n">
        <v>1</v>
      </c>
      <c r="F1168" s="140" t="s">
        <v>178</v>
      </c>
      <c r="G1168" s="150" t="s">
        <v>1308</v>
      </c>
    </row>
    <row r="1169" customFormat="false" ht="27.4" hidden="false" customHeight="false" outlineLevel="0" collapsed="false">
      <c r="A1169" s="96" t="n">
        <v>100</v>
      </c>
      <c r="B1169" s="138" t="s">
        <v>122</v>
      </c>
      <c r="C1169" s="147" t="n">
        <v>42961</v>
      </c>
      <c r="D1169" s="87" t="n">
        <v>2</v>
      </c>
      <c r="E1169" s="99" t="n">
        <v>1</v>
      </c>
      <c r="F1169" s="140" t="s">
        <v>11</v>
      </c>
      <c r="G1169" s="150" t="s">
        <v>1309</v>
      </c>
    </row>
    <row r="1170" customFormat="false" ht="14.4" hidden="false" customHeight="false" outlineLevel="0" collapsed="false">
      <c r="A1170" s="96" t="n">
        <v>98</v>
      </c>
      <c r="B1170" s="138" t="s">
        <v>120</v>
      </c>
      <c r="C1170" s="147" t="n">
        <v>42958</v>
      </c>
      <c r="D1170" s="87" t="n">
        <v>1</v>
      </c>
      <c r="E1170" s="99" t="n">
        <v>1</v>
      </c>
      <c r="F1170" s="140" t="s">
        <v>178</v>
      </c>
      <c r="G1170" s="150" t="s">
        <v>1310</v>
      </c>
    </row>
    <row r="1171" customFormat="false" ht="27.4" hidden="false" customHeight="false" outlineLevel="0" collapsed="false">
      <c r="A1171" s="96" t="n">
        <v>104</v>
      </c>
      <c r="B1171" s="138" t="s">
        <v>126</v>
      </c>
      <c r="C1171" s="147" t="n">
        <v>42959</v>
      </c>
      <c r="D1171" s="87" t="n">
        <v>1</v>
      </c>
      <c r="E1171" s="99" t="n">
        <v>1</v>
      </c>
      <c r="F1171" s="140" t="s">
        <v>178</v>
      </c>
      <c r="G1171" s="150" t="s">
        <v>1311</v>
      </c>
    </row>
    <row r="1172" customFormat="false" ht="14.4" hidden="false" customHeight="false" outlineLevel="0" collapsed="false">
      <c r="A1172" s="96" t="n">
        <v>104</v>
      </c>
      <c r="B1172" s="138" t="s">
        <v>126</v>
      </c>
      <c r="C1172" s="147" t="n">
        <v>42959</v>
      </c>
      <c r="D1172" s="87" t="n">
        <v>1</v>
      </c>
      <c r="E1172" s="99" t="n">
        <v>1</v>
      </c>
      <c r="F1172" s="140" t="s">
        <v>178</v>
      </c>
      <c r="G1172" s="150" t="s">
        <v>1312</v>
      </c>
    </row>
    <row r="1173" customFormat="false" ht="27.4" hidden="false" customHeight="false" outlineLevel="0" collapsed="false">
      <c r="A1173" s="96" t="n">
        <v>9</v>
      </c>
      <c r="B1173" s="138" t="s">
        <v>31</v>
      </c>
      <c r="C1173" s="147" t="n">
        <v>42958</v>
      </c>
      <c r="D1173" s="87" t="n">
        <v>1</v>
      </c>
      <c r="E1173" s="99" t="n">
        <v>1</v>
      </c>
      <c r="F1173" s="140" t="s">
        <v>15</v>
      </c>
      <c r="G1173" s="150" t="s">
        <v>1313</v>
      </c>
    </row>
    <row r="1174" customFormat="false" ht="27.4" hidden="false" customHeight="false" outlineLevel="0" collapsed="false">
      <c r="A1174" s="96" t="n">
        <v>104</v>
      </c>
      <c r="B1174" s="138" t="s">
        <v>126</v>
      </c>
      <c r="C1174" s="147" t="n">
        <v>42958</v>
      </c>
      <c r="D1174" s="87" t="n">
        <v>1</v>
      </c>
      <c r="E1174" s="99" t="n">
        <v>1</v>
      </c>
      <c r="F1174" s="140" t="s">
        <v>15</v>
      </c>
      <c r="G1174" s="150" t="s">
        <v>1314</v>
      </c>
    </row>
    <row r="1175" customFormat="false" ht="27.4" hidden="false" customHeight="false" outlineLevel="0" collapsed="false">
      <c r="A1175" s="96" t="n">
        <v>104</v>
      </c>
      <c r="B1175" s="138" t="s">
        <v>126</v>
      </c>
      <c r="C1175" s="147" t="n">
        <v>42958</v>
      </c>
      <c r="D1175" s="87" t="n">
        <v>5</v>
      </c>
      <c r="E1175" s="99" t="n">
        <v>1</v>
      </c>
      <c r="F1175" s="140" t="s">
        <v>14</v>
      </c>
      <c r="G1175" s="150" t="s">
        <v>1315</v>
      </c>
    </row>
    <row r="1176" customFormat="false" ht="14.4" hidden="false" customHeight="false" outlineLevel="0" collapsed="false">
      <c r="A1176" s="96" t="n">
        <v>115</v>
      </c>
      <c r="B1176" s="138" t="s">
        <v>867</v>
      </c>
      <c r="C1176" s="147" t="n">
        <v>42957</v>
      </c>
      <c r="D1176" s="87" t="n">
        <v>1</v>
      </c>
      <c r="E1176" s="99" t="n">
        <v>1</v>
      </c>
      <c r="F1176" s="140" t="s">
        <v>178</v>
      </c>
      <c r="G1176" s="150" t="s">
        <v>1316</v>
      </c>
    </row>
    <row r="1177" customFormat="false" ht="27.4" hidden="false" customHeight="false" outlineLevel="0" collapsed="false">
      <c r="A1177" s="96" t="n">
        <v>70</v>
      </c>
      <c r="B1177" s="138" t="s">
        <v>92</v>
      </c>
      <c r="C1177" s="147" t="n">
        <v>43319</v>
      </c>
      <c r="D1177" s="87" t="n">
        <v>3</v>
      </c>
      <c r="E1177" s="99" t="n">
        <v>1</v>
      </c>
      <c r="F1177" s="140" t="s">
        <v>178</v>
      </c>
      <c r="G1177" s="150" t="s">
        <v>1317</v>
      </c>
    </row>
    <row r="1178" customFormat="false" ht="27.4" hidden="false" customHeight="false" outlineLevel="0" collapsed="false">
      <c r="A1178" s="96" t="n">
        <v>37</v>
      </c>
      <c r="B1178" s="138" t="s">
        <v>59</v>
      </c>
      <c r="C1178" s="147" t="n">
        <v>62677</v>
      </c>
      <c r="D1178" s="87" t="n">
        <v>3</v>
      </c>
      <c r="E1178" s="99" t="n">
        <v>1</v>
      </c>
      <c r="F1178" s="140" t="s">
        <v>178</v>
      </c>
      <c r="G1178" s="150" t="s">
        <v>1318</v>
      </c>
    </row>
    <row r="1179" customFormat="false" ht="14.4" hidden="false" customHeight="false" outlineLevel="0" collapsed="false">
      <c r="A1179" s="96" t="n">
        <v>104</v>
      </c>
      <c r="B1179" s="138" t="s">
        <v>126</v>
      </c>
      <c r="C1179" s="147" t="n">
        <v>42956</v>
      </c>
      <c r="D1179" s="87" t="n">
        <v>1</v>
      </c>
      <c r="E1179" s="99" t="n">
        <v>1</v>
      </c>
      <c r="F1179" s="140" t="s">
        <v>178</v>
      </c>
      <c r="G1179" s="150" t="s">
        <v>1319</v>
      </c>
    </row>
    <row r="1180" customFormat="false" ht="27.4" hidden="false" customHeight="false" outlineLevel="0" collapsed="false">
      <c r="A1180" s="96" t="n">
        <v>104</v>
      </c>
      <c r="B1180" s="138" t="s">
        <v>126</v>
      </c>
      <c r="C1180" s="147" t="n">
        <v>42955</v>
      </c>
      <c r="D1180" s="87" t="n">
        <v>1</v>
      </c>
      <c r="E1180" s="99" t="n">
        <v>1</v>
      </c>
      <c r="F1180" s="140" t="s">
        <v>178</v>
      </c>
      <c r="G1180" s="150" t="s">
        <v>1320</v>
      </c>
    </row>
    <row r="1181" customFormat="false" ht="27.4" hidden="false" customHeight="false" outlineLevel="0" collapsed="false">
      <c r="A1181" s="96" t="n">
        <v>52</v>
      </c>
      <c r="B1181" s="138" t="s">
        <v>74</v>
      </c>
      <c r="C1181" s="147" t="n">
        <v>42954</v>
      </c>
      <c r="D1181" s="87" t="n">
        <v>1</v>
      </c>
      <c r="E1181" s="99" t="n">
        <v>1</v>
      </c>
      <c r="F1181" s="140" t="s">
        <v>178</v>
      </c>
      <c r="G1181" s="150" t="s">
        <v>1321</v>
      </c>
    </row>
    <row r="1182" customFormat="false" ht="27.4" hidden="false" customHeight="false" outlineLevel="0" collapsed="false">
      <c r="A1182" s="96" t="n">
        <v>111</v>
      </c>
      <c r="B1182" s="138" t="s">
        <v>133</v>
      </c>
      <c r="C1182" s="147" t="n">
        <v>42954</v>
      </c>
      <c r="D1182" s="87" t="n">
        <v>1</v>
      </c>
      <c r="E1182" s="99" t="n">
        <v>1</v>
      </c>
      <c r="F1182" s="140" t="s">
        <v>178</v>
      </c>
      <c r="G1182" s="150" t="s">
        <v>1322</v>
      </c>
    </row>
    <row r="1183" customFormat="false" ht="14.4" hidden="false" customHeight="false" outlineLevel="0" collapsed="false">
      <c r="A1183" s="96" t="n">
        <v>104</v>
      </c>
      <c r="B1183" s="138" t="s">
        <v>126</v>
      </c>
      <c r="C1183" s="147" t="n">
        <v>42953</v>
      </c>
      <c r="D1183" s="87" t="n">
        <v>1</v>
      </c>
      <c r="E1183" s="99" t="n">
        <v>1</v>
      </c>
      <c r="F1183" s="140" t="s">
        <v>178</v>
      </c>
      <c r="G1183" s="150" t="s">
        <v>1323</v>
      </c>
    </row>
    <row r="1184" customFormat="false" ht="14.4" hidden="false" customHeight="false" outlineLevel="0" collapsed="false">
      <c r="A1184" s="96" t="n">
        <v>116</v>
      </c>
      <c r="B1184" s="138" t="s">
        <v>883</v>
      </c>
      <c r="C1184" s="147" t="n">
        <v>42951</v>
      </c>
      <c r="D1184" s="87" t="n">
        <v>1</v>
      </c>
      <c r="E1184" s="99" t="n">
        <v>1</v>
      </c>
      <c r="F1184" s="140" t="s">
        <v>178</v>
      </c>
      <c r="G1184" s="150" t="s">
        <v>1324</v>
      </c>
    </row>
    <row r="1185" customFormat="false" ht="27.4" hidden="false" customHeight="false" outlineLevel="0" collapsed="false">
      <c r="A1185" s="96" t="n">
        <v>114</v>
      </c>
      <c r="B1185" s="138" t="s">
        <v>923</v>
      </c>
      <c r="C1185" s="147" t="n">
        <v>42951</v>
      </c>
      <c r="D1185" s="87" t="n">
        <v>1</v>
      </c>
      <c r="E1185" s="99" t="n">
        <v>1</v>
      </c>
      <c r="F1185" s="140" t="s">
        <v>178</v>
      </c>
      <c r="G1185" s="150" t="s">
        <v>1325</v>
      </c>
    </row>
    <row r="1186" customFormat="false" ht="14.4" hidden="false" customHeight="false" outlineLevel="0" collapsed="false">
      <c r="A1186" s="96" t="n">
        <v>104</v>
      </c>
      <c r="B1186" s="138" t="s">
        <v>126</v>
      </c>
      <c r="C1186" s="147" t="n">
        <v>42950</v>
      </c>
      <c r="D1186" s="87" t="n">
        <v>1</v>
      </c>
      <c r="E1186" s="99" t="n">
        <v>1</v>
      </c>
      <c r="F1186" s="140" t="s">
        <v>178</v>
      </c>
      <c r="G1186" s="150" t="s">
        <v>1326</v>
      </c>
    </row>
    <row r="1187" customFormat="false" ht="14.4" hidden="false" customHeight="false" outlineLevel="0" collapsed="false">
      <c r="A1187" s="96" t="n">
        <v>104</v>
      </c>
      <c r="B1187" s="138" t="s">
        <v>126</v>
      </c>
      <c r="C1187" s="147" t="n">
        <v>42949</v>
      </c>
      <c r="D1187" s="87" t="n">
        <v>1</v>
      </c>
      <c r="E1187" s="99" t="n">
        <v>1</v>
      </c>
      <c r="F1187" s="140" t="s">
        <v>178</v>
      </c>
      <c r="G1187" s="150" t="s">
        <v>1327</v>
      </c>
    </row>
    <row r="1188" customFormat="false" ht="14.4" hidden="false" customHeight="false" outlineLevel="0" collapsed="false">
      <c r="A1188" s="96" t="n">
        <v>111</v>
      </c>
      <c r="B1188" s="138" t="s">
        <v>133</v>
      </c>
      <c r="C1188" s="147" t="n">
        <v>42949</v>
      </c>
      <c r="D1188" s="87" t="n">
        <v>1</v>
      </c>
      <c r="E1188" s="99" t="n">
        <v>1</v>
      </c>
      <c r="F1188" s="140" t="s">
        <v>178</v>
      </c>
      <c r="G1188" s="150" t="s">
        <v>1328</v>
      </c>
    </row>
    <row r="1189" customFormat="false" ht="14.4" hidden="false" customHeight="false" outlineLevel="0" collapsed="false">
      <c r="A1189" s="96" t="n">
        <v>104</v>
      </c>
      <c r="B1189" s="138" t="s">
        <v>126</v>
      </c>
      <c r="C1189" s="147" t="n">
        <v>42949</v>
      </c>
      <c r="D1189" s="87" t="n">
        <v>1</v>
      </c>
      <c r="E1189" s="99" t="n">
        <v>1</v>
      </c>
      <c r="F1189" s="140" t="s">
        <v>178</v>
      </c>
      <c r="G1189" s="150" t="s">
        <v>1329</v>
      </c>
    </row>
    <row r="1190" customFormat="false" ht="14.4" hidden="false" customHeight="false" outlineLevel="0" collapsed="false">
      <c r="A1190" s="96" t="n">
        <v>104</v>
      </c>
      <c r="B1190" s="138" t="s">
        <v>126</v>
      </c>
      <c r="C1190" s="147" t="n">
        <v>42948</v>
      </c>
      <c r="D1190" s="87" t="n">
        <v>1</v>
      </c>
      <c r="E1190" s="99" t="n">
        <v>1</v>
      </c>
      <c r="F1190" s="140" t="s">
        <v>178</v>
      </c>
      <c r="G1190" s="150" t="s">
        <v>1330</v>
      </c>
    </row>
    <row r="1191" customFormat="false" ht="27.4" hidden="false" customHeight="false" outlineLevel="0" collapsed="false">
      <c r="A1191" s="96" t="n">
        <v>9</v>
      </c>
      <c r="B1191" s="138" t="s">
        <v>31</v>
      </c>
      <c r="C1191" s="147" t="n">
        <v>42948</v>
      </c>
      <c r="D1191" s="87" t="n">
        <v>1</v>
      </c>
      <c r="E1191" s="99" t="n">
        <v>1</v>
      </c>
      <c r="F1191" s="140" t="s">
        <v>178</v>
      </c>
      <c r="G1191" s="150" t="s">
        <v>1331</v>
      </c>
    </row>
    <row r="1192" customFormat="false" ht="14.4" hidden="false" customHeight="false" outlineLevel="0" collapsed="false">
      <c r="A1192" s="96" t="n">
        <v>104</v>
      </c>
      <c r="B1192" s="138" t="s">
        <v>126</v>
      </c>
      <c r="C1192" s="147" t="n">
        <v>42948</v>
      </c>
      <c r="D1192" s="87" t="n">
        <v>1</v>
      </c>
      <c r="E1192" s="99" t="n">
        <v>1</v>
      </c>
      <c r="F1192" s="140" t="s">
        <v>178</v>
      </c>
      <c r="G1192" s="150" t="s">
        <v>1332</v>
      </c>
    </row>
    <row r="1193" customFormat="false" ht="14.4" hidden="false" customHeight="false" outlineLevel="0" collapsed="false">
      <c r="A1193" s="96" t="n">
        <v>104</v>
      </c>
      <c r="B1193" s="138" t="s">
        <v>126</v>
      </c>
      <c r="C1193" s="147" t="n">
        <v>42945</v>
      </c>
      <c r="D1193" s="87" t="n">
        <v>1</v>
      </c>
      <c r="E1193" s="99" t="n">
        <v>1</v>
      </c>
      <c r="F1193" s="140" t="s">
        <v>178</v>
      </c>
      <c r="G1193" s="150" t="s">
        <v>1333</v>
      </c>
    </row>
    <row r="1194" customFormat="false" ht="14.4" hidden="false" customHeight="false" outlineLevel="0" collapsed="false">
      <c r="A1194" s="96" t="n">
        <v>104</v>
      </c>
      <c r="B1194" s="138" t="s">
        <v>126</v>
      </c>
      <c r="C1194" s="147" t="n">
        <v>42975</v>
      </c>
      <c r="D1194" s="87" t="n">
        <v>1</v>
      </c>
      <c r="E1194" s="99" t="n">
        <v>1</v>
      </c>
      <c r="F1194" s="140" t="s">
        <v>178</v>
      </c>
      <c r="G1194" s="150" t="s">
        <v>1334</v>
      </c>
    </row>
    <row r="1195" customFormat="false" ht="27.4" hidden="false" customHeight="false" outlineLevel="0" collapsed="false">
      <c r="A1195" s="96" t="n">
        <v>104</v>
      </c>
      <c r="B1195" s="138" t="s">
        <v>126</v>
      </c>
      <c r="C1195" s="147" t="n">
        <v>42943</v>
      </c>
      <c r="D1195" s="87" t="n">
        <v>1</v>
      </c>
      <c r="E1195" s="99" t="n">
        <v>1</v>
      </c>
      <c r="F1195" s="140" t="s">
        <v>178</v>
      </c>
      <c r="G1195" s="150" t="s">
        <v>1335</v>
      </c>
    </row>
    <row r="1196" customFormat="false" ht="14.4" hidden="false" customHeight="false" outlineLevel="0" collapsed="false">
      <c r="A1196" s="96" t="n">
        <v>104</v>
      </c>
      <c r="B1196" s="138" t="s">
        <v>126</v>
      </c>
      <c r="C1196" s="147" t="n">
        <v>42942</v>
      </c>
      <c r="D1196" s="87" t="n">
        <v>1</v>
      </c>
      <c r="E1196" s="99" t="n">
        <v>1</v>
      </c>
      <c r="F1196" s="140" t="s">
        <v>178</v>
      </c>
      <c r="G1196" s="150" t="s">
        <v>1336</v>
      </c>
    </row>
    <row r="1197" customFormat="false" ht="14.4" hidden="false" customHeight="false" outlineLevel="0" collapsed="false">
      <c r="A1197" s="96" t="n">
        <v>104</v>
      </c>
      <c r="B1197" s="138" t="s">
        <v>126</v>
      </c>
      <c r="C1197" s="147" t="n">
        <v>42941</v>
      </c>
      <c r="D1197" s="87" t="n">
        <v>1</v>
      </c>
      <c r="E1197" s="99" t="n">
        <v>1</v>
      </c>
      <c r="F1197" s="140" t="s">
        <v>178</v>
      </c>
      <c r="G1197" s="150" t="s">
        <v>1337</v>
      </c>
    </row>
    <row r="1198" customFormat="false" ht="14.4" hidden="false" customHeight="false" outlineLevel="0" collapsed="false">
      <c r="A1198" s="96" t="n">
        <v>104</v>
      </c>
      <c r="B1198" s="138" t="s">
        <v>126</v>
      </c>
      <c r="C1198" s="147" t="n">
        <v>42940</v>
      </c>
      <c r="D1198" s="87" t="n">
        <v>1</v>
      </c>
      <c r="E1198" s="99" t="n">
        <v>1</v>
      </c>
      <c r="F1198" s="140" t="s">
        <v>178</v>
      </c>
      <c r="G1198" s="150" t="s">
        <v>1338</v>
      </c>
    </row>
    <row r="1199" customFormat="false" ht="14.4" hidden="false" customHeight="false" outlineLevel="0" collapsed="false">
      <c r="A1199" s="96" t="n">
        <v>104</v>
      </c>
      <c r="B1199" s="138" t="s">
        <v>126</v>
      </c>
      <c r="C1199" s="147" t="n">
        <v>42938</v>
      </c>
      <c r="D1199" s="87" t="n">
        <v>1</v>
      </c>
      <c r="E1199" s="99" t="n">
        <v>1</v>
      </c>
      <c r="F1199" s="140" t="s">
        <v>178</v>
      </c>
      <c r="G1199" s="150" t="s">
        <v>1339</v>
      </c>
    </row>
    <row r="1200" customFormat="false" ht="27.4" hidden="false" customHeight="false" outlineLevel="0" collapsed="false">
      <c r="A1200" s="96" t="n">
        <v>104</v>
      </c>
      <c r="B1200" s="138" t="s">
        <v>126</v>
      </c>
      <c r="C1200" s="147" t="n">
        <v>42937</v>
      </c>
      <c r="D1200" s="87" t="n">
        <v>1</v>
      </c>
      <c r="E1200" s="99" t="n">
        <v>1</v>
      </c>
      <c r="F1200" s="140" t="s">
        <v>178</v>
      </c>
      <c r="G1200" s="150" t="s">
        <v>1340</v>
      </c>
    </row>
  </sheetData>
  <dataValidations count="1">
    <dataValidation allowBlank="true" error="QUANTIDADE SOLICITADA MAIOR QUE O SALDO EM ESTOQUE" errorTitle="ATENÇÃO" operator="between" showDropDown="false" showErrorMessage="true" showInputMessage="true" sqref="D1" type="custom">
      <formula1>#ref!&lt;=0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" activeCellId="0" sqref="E:E"/>
    </sheetView>
  </sheetViews>
  <sheetFormatPr defaultRowHeight="13.8" zeroHeight="false" outlineLevelRow="0" outlineLevelCol="0"/>
  <cols>
    <col collapsed="false" customWidth="true" hidden="false" outlineLevel="0" max="1" min="1" style="151" width="17.57"/>
    <col collapsed="false" customWidth="true" hidden="false" outlineLevel="0" max="2" min="2" style="89" width="48"/>
    <col collapsed="false" customWidth="true" hidden="false" outlineLevel="0" max="3" min="3" style="147" width="17.57"/>
    <col collapsed="false" customWidth="true" hidden="false" outlineLevel="0" max="4" min="4" style="151" width="17.57"/>
    <col collapsed="false" customWidth="true" hidden="false" outlineLevel="0" max="5" min="5" style="0" width="17.57"/>
    <col collapsed="false" customWidth="true" hidden="false" outlineLevel="0" max="6" min="6" style="0" width="57"/>
    <col collapsed="false" customWidth="true" hidden="false" outlineLevel="0" max="7" min="7" style="0" width="20.57"/>
    <col collapsed="false" customWidth="true" hidden="false" outlineLevel="0" max="1025" min="8" style="0" width="8.49"/>
  </cols>
  <sheetData>
    <row r="1" customFormat="false" ht="13.8" hidden="false" customHeight="false" outlineLevel="0" collapsed="false">
      <c r="A1" s="144" t="s">
        <v>4</v>
      </c>
      <c r="B1" s="152" t="s">
        <v>6</v>
      </c>
      <c r="C1" s="153" t="s">
        <v>5</v>
      </c>
      <c r="D1" s="144" t="s">
        <v>7</v>
      </c>
      <c r="E1" s="154" t="s">
        <v>8</v>
      </c>
      <c r="F1" s="154" t="s">
        <v>1341</v>
      </c>
      <c r="G1" s="154" t="s">
        <v>9</v>
      </c>
    </row>
    <row r="2" customFormat="false" ht="14.4" hidden="false" customHeight="false" outlineLevel="0" collapsed="false">
      <c r="A2" s="57" t="n">
        <v>105</v>
      </c>
      <c r="B2" s="89" t="s">
        <v>127</v>
      </c>
      <c r="C2" s="147" t="n">
        <v>43749</v>
      </c>
      <c r="D2" s="151" t="n">
        <v>2</v>
      </c>
      <c r="E2" s="36" t="n">
        <v>2</v>
      </c>
      <c r="F2" s="58" t="s">
        <v>1342</v>
      </c>
      <c r="G2" s="0" t="s">
        <v>15</v>
      </c>
    </row>
    <row r="3" customFormat="false" ht="14.4" hidden="false" customHeight="false" outlineLevel="0" collapsed="false">
      <c r="A3" s="57" t="n">
        <v>108</v>
      </c>
      <c r="B3" s="89" t="s">
        <v>130</v>
      </c>
      <c r="C3" s="147" t="n">
        <v>43749</v>
      </c>
      <c r="D3" s="151" t="n">
        <v>2</v>
      </c>
      <c r="E3" s="36" t="n">
        <v>2</v>
      </c>
      <c r="F3" s="58" t="s">
        <v>1342</v>
      </c>
      <c r="G3" s="0" t="s">
        <v>15</v>
      </c>
    </row>
    <row r="4" customFormat="false" ht="14.4" hidden="false" customHeight="false" outlineLevel="0" collapsed="false">
      <c r="A4" s="57" t="n">
        <v>107</v>
      </c>
      <c r="B4" s="89" t="s">
        <v>129</v>
      </c>
      <c r="C4" s="147" t="n">
        <v>43749</v>
      </c>
      <c r="D4" s="151" t="n">
        <v>2</v>
      </c>
      <c r="E4" s="36" t="n">
        <v>2</v>
      </c>
      <c r="F4" s="58" t="s">
        <v>1342</v>
      </c>
      <c r="G4" s="0" t="s">
        <v>15</v>
      </c>
    </row>
    <row r="5" customFormat="false" ht="14.4" hidden="false" customHeight="false" outlineLevel="0" collapsed="false">
      <c r="A5" s="57" t="n">
        <v>106</v>
      </c>
      <c r="B5" s="89" t="s">
        <v>128</v>
      </c>
      <c r="C5" s="147" t="n">
        <v>43749</v>
      </c>
      <c r="D5" s="151" t="n">
        <v>1</v>
      </c>
      <c r="E5" s="36" t="n">
        <v>2</v>
      </c>
      <c r="F5" s="58" t="s">
        <v>1342</v>
      </c>
      <c r="G5" s="0" t="s">
        <v>15</v>
      </c>
    </row>
    <row r="6" customFormat="false" ht="14.4" hidden="false" customHeight="false" outlineLevel="0" collapsed="false">
      <c r="A6" s="57" t="n">
        <v>104</v>
      </c>
      <c r="B6" s="89" t="s">
        <v>126</v>
      </c>
      <c r="C6" s="147" t="n">
        <v>43627</v>
      </c>
      <c r="D6" s="151" t="n">
        <v>4</v>
      </c>
      <c r="E6" s="36" t="n">
        <v>1</v>
      </c>
      <c r="F6" s="58" t="s">
        <v>1343</v>
      </c>
      <c r="G6" s="0" t="s">
        <v>362</v>
      </c>
    </row>
    <row r="7" customFormat="false" ht="14.4" hidden="false" customHeight="false" outlineLevel="0" collapsed="false">
      <c r="A7" s="57" t="n">
        <v>137</v>
      </c>
      <c r="B7" s="89" t="s">
        <v>159</v>
      </c>
      <c r="C7" s="147" t="n">
        <v>43605</v>
      </c>
      <c r="D7" s="151" t="n">
        <v>1</v>
      </c>
      <c r="E7" s="36" t="n">
        <v>1</v>
      </c>
      <c r="F7" s="58" t="n">
        <v>155152</v>
      </c>
      <c r="G7" s="0" t="s">
        <v>15</v>
      </c>
    </row>
    <row r="8" customFormat="false" ht="14.4" hidden="false" customHeight="false" outlineLevel="0" collapsed="false">
      <c r="A8" s="57" t="n">
        <v>136</v>
      </c>
      <c r="B8" s="89" t="s">
        <v>158</v>
      </c>
      <c r="C8" s="147" t="n">
        <v>43605</v>
      </c>
      <c r="D8" s="151" t="n">
        <v>1</v>
      </c>
      <c r="E8" s="36" t="n">
        <v>1</v>
      </c>
      <c r="F8" s="58" t="n">
        <v>155152</v>
      </c>
      <c r="G8" s="0" t="s">
        <v>15</v>
      </c>
    </row>
    <row r="9" customFormat="false" ht="14.4" hidden="false" customHeight="false" outlineLevel="0" collapsed="false">
      <c r="A9" s="57" t="n">
        <v>135</v>
      </c>
      <c r="B9" s="89" t="s">
        <v>157</v>
      </c>
      <c r="C9" s="147" t="n">
        <v>43605</v>
      </c>
      <c r="D9" s="151" t="n">
        <v>1</v>
      </c>
      <c r="E9" s="36" t="n">
        <v>1</v>
      </c>
      <c r="F9" s="58" t="n">
        <v>155152</v>
      </c>
      <c r="G9" s="0" t="s">
        <v>15</v>
      </c>
    </row>
    <row r="10" customFormat="false" ht="14.4" hidden="false" customHeight="false" outlineLevel="0" collapsed="false">
      <c r="A10" s="57" t="n">
        <v>134</v>
      </c>
      <c r="B10" s="89" t="s">
        <v>156</v>
      </c>
      <c r="C10" s="147" t="n">
        <v>43605</v>
      </c>
      <c r="D10" s="151" t="n">
        <v>1</v>
      </c>
      <c r="E10" s="36" t="n">
        <v>1</v>
      </c>
      <c r="F10" s="58" t="n">
        <v>155152</v>
      </c>
      <c r="G10" s="0" t="s">
        <v>15</v>
      </c>
    </row>
    <row r="11" customFormat="false" ht="14.4" hidden="false" customHeight="false" outlineLevel="0" collapsed="false">
      <c r="A11" s="57" t="n">
        <v>133</v>
      </c>
      <c r="B11" s="89" t="s">
        <v>155</v>
      </c>
      <c r="C11" s="147" t="n">
        <v>43605</v>
      </c>
      <c r="D11" s="151" t="n">
        <v>1</v>
      </c>
      <c r="E11" s="36" t="n">
        <v>1</v>
      </c>
      <c r="F11" s="58" t="n">
        <v>155152</v>
      </c>
      <c r="G11" s="0" t="s">
        <v>15</v>
      </c>
    </row>
    <row r="12" customFormat="false" ht="14.4" hidden="false" customHeight="false" outlineLevel="0" collapsed="false">
      <c r="A12" s="57" t="n">
        <v>136</v>
      </c>
      <c r="B12" s="89" t="s">
        <v>158</v>
      </c>
      <c r="C12" s="147" t="n">
        <v>43598</v>
      </c>
      <c r="D12" s="151" t="n">
        <v>1</v>
      </c>
      <c r="E12" s="36" t="n">
        <v>1</v>
      </c>
      <c r="F12" s="58" t="s">
        <v>1344</v>
      </c>
      <c r="G12" s="0" t="s">
        <v>15</v>
      </c>
    </row>
    <row r="13" customFormat="false" ht="14.4" hidden="false" customHeight="false" outlineLevel="0" collapsed="false">
      <c r="A13" s="57" t="n">
        <v>134</v>
      </c>
      <c r="B13" s="89" t="s">
        <v>156</v>
      </c>
      <c r="C13" s="147" t="n">
        <v>43598</v>
      </c>
      <c r="D13" s="151" t="n">
        <v>1</v>
      </c>
      <c r="E13" s="36" t="n">
        <v>1</v>
      </c>
      <c r="F13" s="58" t="s">
        <v>1344</v>
      </c>
      <c r="G13" s="0" t="s">
        <v>15</v>
      </c>
    </row>
    <row r="14" customFormat="false" ht="14.4" hidden="false" customHeight="false" outlineLevel="0" collapsed="false">
      <c r="A14" s="57" t="n">
        <v>116</v>
      </c>
      <c r="B14" s="89" t="s">
        <v>138</v>
      </c>
      <c r="C14" s="147" t="n">
        <v>43598</v>
      </c>
      <c r="D14" s="151" t="n">
        <v>1</v>
      </c>
      <c r="E14" s="36" t="n">
        <v>1</v>
      </c>
      <c r="F14" s="58" t="s">
        <v>1345</v>
      </c>
      <c r="G14" s="0" t="s">
        <v>15</v>
      </c>
    </row>
    <row r="15" customFormat="false" ht="14.4" hidden="false" customHeight="false" outlineLevel="0" collapsed="false">
      <c r="A15" s="57" t="n">
        <v>115</v>
      </c>
      <c r="B15" s="89" t="s">
        <v>137</v>
      </c>
      <c r="C15" s="147" t="n">
        <v>43598</v>
      </c>
      <c r="D15" s="151" t="n">
        <v>1</v>
      </c>
      <c r="E15" s="36" t="n">
        <v>1</v>
      </c>
      <c r="F15" s="58" t="s">
        <v>1345</v>
      </c>
      <c r="G15" s="0" t="s">
        <v>15</v>
      </c>
    </row>
    <row r="16" customFormat="false" ht="14.4" hidden="false" customHeight="false" outlineLevel="0" collapsed="false">
      <c r="A16" s="57" t="n">
        <v>141</v>
      </c>
      <c r="B16" s="89" t="s">
        <v>163</v>
      </c>
      <c r="C16" s="147" t="n">
        <v>43598</v>
      </c>
      <c r="D16" s="151" t="n">
        <v>1</v>
      </c>
      <c r="E16" s="36" t="n">
        <v>1</v>
      </c>
      <c r="F16" s="58" t="s">
        <v>1346</v>
      </c>
      <c r="G16" s="0" t="s">
        <v>15</v>
      </c>
    </row>
    <row r="17" customFormat="false" ht="14.4" hidden="false" customHeight="false" outlineLevel="0" collapsed="false">
      <c r="A17" s="57" t="n">
        <v>140</v>
      </c>
      <c r="B17" s="89" t="s">
        <v>162</v>
      </c>
      <c r="C17" s="147" t="n">
        <v>43598</v>
      </c>
      <c r="D17" s="151" t="n">
        <v>1</v>
      </c>
      <c r="E17" s="36" t="n">
        <v>1</v>
      </c>
      <c r="F17" s="58" t="s">
        <v>1346</v>
      </c>
      <c r="G17" s="0" t="s">
        <v>15</v>
      </c>
    </row>
    <row r="18" customFormat="false" ht="14.4" hidden="false" customHeight="false" outlineLevel="0" collapsed="false">
      <c r="A18" s="57" t="n">
        <v>139</v>
      </c>
      <c r="B18" s="89" t="s">
        <v>161</v>
      </c>
      <c r="C18" s="147" t="n">
        <v>43598</v>
      </c>
      <c r="D18" s="151" t="n">
        <v>1</v>
      </c>
      <c r="E18" s="36" t="n">
        <v>1</v>
      </c>
      <c r="F18" s="58" t="s">
        <v>1346</v>
      </c>
      <c r="G18" s="0" t="s">
        <v>15</v>
      </c>
    </row>
    <row r="19" customFormat="false" ht="14.4" hidden="false" customHeight="false" outlineLevel="0" collapsed="false">
      <c r="A19" s="57" t="n">
        <v>138</v>
      </c>
      <c r="B19" s="89" t="s">
        <v>160</v>
      </c>
      <c r="C19" s="147" t="n">
        <v>43598</v>
      </c>
      <c r="D19" s="151" t="n">
        <v>1</v>
      </c>
      <c r="E19" s="36" t="n">
        <v>1</v>
      </c>
      <c r="F19" s="58" t="s">
        <v>1346</v>
      </c>
      <c r="G19" s="0" t="s">
        <v>15</v>
      </c>
    </row>
    <row r="20" customFormat="false" ht="15" hidden="false" customHeight="true" outlineLevel="0" collapsed="false">
      <c r="A20" s="57" t="n">
        <v>104</v>
      </c>
      <c r="B20" s="89" t="s">
        <v>126</v>
      </c>
      <c r="C20" s="147" t="n">
        <v>43564</v>
      </c>
      <c r="D20" s="151" t="n">
        <v>8</v>
      </c>
      <c r="E20" s="36" t="n">
        <v>8</v>
      </c>
      <c r="F20" s="58" t="s">
        <v>1347</v>
      </c>
      <c r="G20" s="0" t="s">
        <v>362</v>
      </c>
    </row>
    <row r="21" customFormat="false" ht="14.4" hidden="false" customHeight="false" outlineLevel="0" collapsed="false">
      <c r="A21" s="57" t="n">
        <v>104</v>
      </c>
      <c r="B21" s="89" t="s">
        <v>126</v>
      </c>
      <c r="C21" s="147" t="n">
        <v>43537</v>
      </c>
      <c r="D21" s="151" t="n">
        <v>6</v>
      </c>
      <c r="E21" s="36" t="n">
        <v>6</v>
      </c>
      <c r="F21" s="58" t="s">
        <v>1348</v>
      </c>
      <c r="G21" s="0" t="s">
        <v>362</v>
      </c>
    </row>
    <row r="22" customFormat="false" ht="14.4" hidden="false" customHeight="false" outlineLevel="0" collapsed="false">
      <c r="A22" s="57" t="n">
        <v>104</v>
      </c>
      <c r="B22" s="89" t="s">
        <v>126</v>
      </c>
      <c r="C22" s="147" t="n">
        <v>43508</v>
      </c>
      <c r="D22" s="151" t="n">
        <v>5</v>
      </c>
      <c r="E22" s="36" t="n">
        <v>1</v>
      </c>
      <c r="F22" s="58" t="s">
        <v>1349</v>
      </c>
      <c r="G22" s="0" t="s">
        <v>362</v>
      </c>
    </row>
    <row r="23" customFormat="false" ht="14.4" hidden="false" customHeight="false" outlineLevel="0" collapsed="false">
      <c r="A23" s="57" t="n">
        <v>104</v>
      </c>
      <c r="B23" s="89" t="s">
        <v>126</v>
      </c>
      <c r="C23" s="147" t="n">
        <v>43507</v>
      </c>
      <c r="D23" s="151" t="n">
        <v>5</v>
      </c>
      <c r="E23" s="36" t="n">
        <v>1</v>
      </c>
      <c r="F23" s="58" t="s">
        <v>1349</v>
      </c>
      <c r="G23" s="0" t="s">
        <v>362</v>
      </c>
    </row>
    <row r="24" customFormat="false" ht="14.4" hidden="false" customHeight="false" outlineLevel="0" collapsed="false">
      <c r="A24" s="57" t="n">
        <v>114</v>
      </c>
      <c r="B24" s="89" t="s">
        <v>136</v>
      </c>
      <c r="C24" s="147" t="n">
        <v>43507</v>
      </c>
      <c r="D24" s="151" t="n">
        <v>2</v>
      </c>
      <c r="E24" s="36" t="n">
        <v>1</v>
      </c>
      <c r="F24" s="58" t="s">
        <v>1350</v>
      </c>
      <c r="G24" s="0" t="s">
        <v>15</v>
      </c>
    </row>
    <row r="25" customFormat="false" ht="14.4" hidden="false" customHeight="false" outlineLevel="0" collapsed="false">
      <c r="A25" s="57" t="n">
        <v>115</v>
      </c>
      <c r="B25" s="89" t="s">
        <v>137</v>
      </c>
      <c r="C25" s="147" t="n">
        <v>43507</v>
      </c>
      <c r="D25" s="151" t="n">
        <v>1</v>
      </c>
      <c r="E25" s="36" t="n">
        <v>1</v>
      </c>
      <c r="F25" s="58" t="s">
        <v>1350</v>
      </c>
      <c r="G25" s="0" t="s">
        <v>15</v>
      </c>
    </row>
    <row r="26" customFormat="false" ht="14.4" hidden="false" customHeight="false" outlineLevel="0" collapsed="false">
      <c r="A26" s="57" t="n">
        <v>116</v>
      </c>
      <c r="B26" s="89" t="s">
        <v>138</v>
      </c>
      <c r="C26" s="147" t="n">
        <v>43507</v>
      </c>
      <c r="D26" s="151" t="n">
        <v>3</v>
      </c>
      <c r="E26" s="36" t="n">
        <v>1</v>
      </c>
      <c r="F26" s="58" t="s">
        <v>1350</v>
      </c>
      <c r="G26" s="0" t="s">
        <v>15</v>
      </c>
    </row>
    <row r="27" customFormat="false" ht="14.4" hidden="false" customHeight="false" outlineLevel="0" collapsed="false">
      <c r="A27" s="57" t="n">
        <v>129</v>
      </c>
      <c r="B27" s="89" t="s">
        <v>151</v>
      </c>
      <c r="C27" s="147" t="n">
        <v>43507</v>
      </c>
      <c r="D27" s="151" t="n">
        <v>1</v>
      </c>
      <c r="E27" s="36" t="n">
        <v>1</v>
      </c>
      <c r="F27" s="58" t="s">
        <v>1351</v>
      </c>
      <c r="G27" s="0" t="s">
        <v>15</v>
      </c>
    </row>
    <row r="28" customFormat="false" ht="14.4" hidden="false" customHeight="false" outlineLevel="0" collapsed="false">
      <c r="A28" s="57" t="n">
        <v>105</v>
      </c>
      <c r="B28" s="89" t="s">
        <v>127</v>
      </c>
      <c r="C28" s="147" t="n">
        <v>43507</v>
      </c>
      <c r="D28" s="151" t="n">
        <v>3</v>
      </c>
      <c r="E28" s="36" t="n">
        <v>1</v>
      </c>
      <c r="F28" s="58" t="s">
        <v>1352</v>
      </c>
      <c r="G28" s="0" t="s">
        <v>362</v>
      </c>
    </row>
    <row r="29" customFormat="false" ht="14.4" hidden="false" customHeight="false" outlineLevel="0" collapsed="false">
      <c r="A29" s="57" t="n">
        <v>107</v>
      </c>
      <c r="B29" s="89" t="s">
        <v>129</v>
      </c>
      <c r="C29" s="147" t="n">
        <v>43507</v>
      </c>
      <c r="D29" s="151" t="n">
        <v>2</v>
      </c>
      <c r="E29" s="36" t="n">
        <v>1</v>
      </c>
      <c r="F29" s="58" t="s">
        <v>1352</v>
      </c>
      <c r="G29" s="0" t="s">
        <v>362</v>
      </c>
    </row>
    <row r="30" customFormat="false" ht="14.4" hidden="false" customHeight="false" outlineLevel="0" collapsed="false">
      <c r="A30" s="57" t="n">
        <v>108</v>
      </c>
      <c r="B30" s="89" t="s">
        <v>130</v>
      </c>
      <c r="C30" s="147" t="n">
        <v>43507</v>
      </c>
      <c r="D30" s="151" t="n">
        <v>2</v>
      </c>
      <c r="E30" s="36" t="n">
        <v>1</v>
      </c>
      <c r="F30" s="58" t="s">
        <v>1352</v>
      </c>
      <c r="G30" s="0" t="s">
        <v>362</v>
      </c>
    </row>
    <row r="31" customFormat="false" ht="14.4" hidden="false" customHeight="false" outlineLevel="0" collapsed="false">
      <c r="A31" s="57" t="n">
        <v>104</v>
      </c>
      <c r="B31" s="89" t="s">
        <v>126</v>
      </c>
      <c r="C31" s="147" t="n">
        <v>43472</v>
      </c>
      <c r="D31" s="151" t="n">
        <v>10</v>
      </c>
      <c r="E31" s="36" t="n">
        <v>1</v>
      </c>
      <c r="F31" s="58" t="s">
        <v>1353</v>
      </c>
      <c r="G31" s="0" t="s">
        <v>362</v>
      </c>
    </row>
    <row r="32" customFormat="false" ht="14.4" hidden="false" customHeight="false" outlineLevel="0" collapsed="false">
      <c r="A32" s="57" t="n">
        <v>107</v>
      </c>
      <c r="B32" s="89" t="s">
        <v>129</v>
      </c>
      <c r="C32" s="147" t="n">
        <v>43467</v>
      </c>
      <c r="D32" s="151" t="n">
        <v>1</v>
      </c>
      <c r="E32" s="36" t="n">
        <v>1</v>
      </c>
      <c r="F32" s="58" t="s">
        <v>1353</v>
      </c>
      <c r="G32" s="0" t="s">
        <v>362</v>
      </c>
    </row>
    <row r="33" customFormat="false" ht="14.4" hidden="false" customHeight="false" outlineLevel="0" collapsed="false">
      <c r="A33" s="57" t="n">
        <v>104</v>
      </c>
      <c r="B33" s="89" t="s">
        <v>126</v>
      </c>
      <c r="C33" s="147" t="n">
        <v>43467</v>
      </c>
      <c r="D33" s="151" t="n">
        <v>10</v>
      </c>
      <c r="E33" s="36" t="n">
        <v>1</v>
      </c>
      <c r="F33" s="58" t="s">
        <v>1353</v>
      </c>
      <c r="G33" s="0" t="s">
        <v>362</v>
      </c>
    </row>
    <row r="34" customFormat="false" ht="14.4" hidden="false" customHeight="false" outlineLevel="0" collapsed="false">
      <c r="A34" s="57" t="n">
        <v>37</v>
      </c>
      <c r="B34" s="89" t="s">
        <v>59</v>
      </c>
      <c r="C34" s="147" t="n">
        <v>43467</v>
      </c>
      <c r="D34" s="151" t="n">
        <v>2</v>
      </c>
      <c r="E34" s="36" t="n">
        <v>1</v>
      </c>
      <c r="F34" s="58" t="s">
        <v>1353</v>
      </c>
      <c r="G34" s="0" t="s">
        <v>362</v>
      </c>
    </row>
    <row r="35" customFormat="false" ht="14.4" hidden="false" customHeight="false" outlineLevel="0" collapsed="false">
      <c r="A35" s="57" t="n">
        <v>107</v>
      </c>
      <c r="B35" s="89" t="s">
        <v>129</v>
      </c>
      <c r="C35" s="147" t="n">
        <v>43467</v>
      </c>
      <c r="D35" s="151" t="n">
        <v>1</v>
      </c>
      <c r="E35" s="36" t="n">
        <v>1</v>
      </c>
      <c r="F35" s="58" t="s">
        <v>1354</v>
      </c>
      <c r="G35" s="0" t="s">
        <v>362</v>
      </c>
    </row>
    <row r="36" customFormat="false" ht="14.4" hidden="false" customHeight="false" outlineLevel="0" collapsed="false">
      <c r="A36" s="57" t="n">
        <v>106</v>
      </c>
      <c r="B36" s="89" t="s">
        <v>128</v>
      </c>
      <c r="C36" s="147" t="n">
        <v>43438</v>
      </c>
      <c r="D36" s="151" t="n">
        <v>1</v>
      </c>
      <c r="E36" s="36" t="n">
        <v>1</v>
      </c>
      <c r="F36" s="58" t="s">
        <v>1349</v>
      </c>
      <c r="G36" s="0" t="s">
        <v>362</v>
      </c>
    </row>
    <row r="37" customFormat="false" ht="14.4" hidden="false" customHeight="false" outlineLevel="0" collapsed="false">
      <c r="A37" s="57" t="n">
        <v>105</v>
      </c>
      <c r="B37" s="89" t="s">
        <v>127</v>
      </c>
      <c r="C37" s="147" t="n">
        <v>43438</v>
      </c>
      <c r="D37" s="151" t="n">
        <v>1</v>
      </c>
      <c r="E37" s="36" t="n">
        <v>1</v>
      </c>
      <c r="F37" s="58" t="s">
        <v>1349</v>
      </c>
      <c r="G37" s="0" t="s">
        <v>362</v>
      </c>
    </row>
    <row r="38" customFormat="false" ht="14.4" hidden="false" customHeight="false" outlineLevel="0" collapsed="false">
      <c r="A38" s="57" t="n">
        <v>128</v>
      </c>
      <c r="B38" s="89" t="s">
        <v>150</v>
      </c>
      <c r="C38" s="147" t="n">
        <v>43438</v>
      </c>
      <c r="D38" s="151" t="n">
        <v>1</v>
      </c>
      <c r="E38" s="36" t="n">
        <v>1</v>
      </c>
      <c r="F38" s="58" t="s">
        <v>1349</v>
      </c>
      <c r="G38" s="0" t="s">
        <v>362</v>
      </c>
    </row>
    <row r="39" customFormat="false" ht="14.4" hidden="false" customHeight="false" outlineLevel="0" collapsed="false">
      <c r="A39" s="57" t="n">
        <v>104</v>
      </c>
      <c r="B39" s="89" t="s">
        <v>126</v>
      </c>
      <c r="C39" s="147" t="n">
        <v>43438</v>
      </c>
      <c r="D39" s="151" t="n">
        <v>4</v>
      </c>
      <c r="E39" s="36" t="n">
        <v>1</v>
      </c>
      <c r="F39" s="58" t="s">
        <v>1349</v>
      </c>
      <c r="G39" s="0" t="s">
        <v>362</v>
      </c>
    </row>
    <row r="40" customFormat="false" ht="14.4" hidden="false" customHeight="false" outlineLevel="0" collapsed="false">
      <c r="A40" s="57" t="n">
        <v>104</v>
      </c>
      <c r="B40" s="89" t="s">
        <v>126</v>
      </c>
      <c r="C40" s="147" t="n">
        <v>43437</v>
      </c>
      <c r="D40" s="151" t="n">
        <v>10</v>
      </c>
      <c r="E40" s="36" t="n">
        <v>1</v>
      </c>
      <c r="F40" s="58" t="s">
        <v>1349</v>
      </c>
      <c r="G40" s="0" t="s">
        <v>362</v>
      </c>
    </row>
    <row r="41" customFormat="false" ht="14.4" hidden="false" customHeight="false" outlineLevel="0" collapsed="false">
      <c r="A41" s="57" t="n">
        <v>104</v>
      </c>
      <c r="B41" s="89" t="s">
        <v>126</v>
      </c>
      <c r="C41" s="147" t="n">
        <v>43430</v>
      </c>
      <c r="D41" s="151" t="n">
        <v>5</v>
      </c>
      <c r="E41" s="36" t="n">
        <v>1</v>
      </c>
      <c r="F41" s="58" t="s">
        <v>1349</v>
      </c>
      <c r="G41" s="0" t="s">
        <v>362</v>
      </c>
    </row>
    <row r="42" customFormat="false" ht="14.4" hidden="false" customHeight="false" outlineLevel="0" collapsed="false">
      <c r="A42" s="57" t="n">
        <v>116</v>
      </c>
      <c r="B42" s="89" t="s">
        <v>138</v>
      </c>
      <c r="C42" s="147" t="n">
        <v>43427</v>
      </c>
      <c r="D42" s="151" t="n">
        <v>1</v>
      </c>
      <c r="E42" s="36" t="n">
        <v>1</v>
      </c>
      <c r="F42" s="58" t="s">
        <v>1349</v>
      </c>
      <c r="G42" s="0" t="s">
        <v>362</v>
      </c>
    </row>
    <row r="43" customFormat="false" ht="14.4" hidden="false" customHeight="false" outlineLevel="0" collapsed="false">
      <c r="A43" s="57" t="n">
        <v>115</v>
      </c>
      <c r="B43" s="89" t="s">
        <v>137</v>
      </c>
      <c r="C43" s="147" t="n">
        <v>43427</v>
      </c>
      <c r="D43" s="151" t="n">
        <v>1</v>
      </c>
      <c r="E43" s="36" t="n">
        <v>1</v>
      </c>
      <c r="F43" s="58" t="s">
        <v>1355</v>
      </c>
      <c r="G43" s="0" t="s">
        <v>362</v>
      </c>
    </row>
    <row r="44" customFormat="false" ht="14.4" hidden="false" customHeight="false" outlineLevel="0" collapsed="false">
      <c r="A44" s="57" t="n">
        <v>114</v>
      </c>
      <c r="B44" s="89" t="s">
        <v>136</v>
      </c>
      <c r="C44" s="147" t="n">
        <v>43427</v>
      </c>
      <c r="D44" s="151" t="n">
        <v>1</v>
      </c>
      <c r="E44" s="36" t="n">
        <v>1</v>
      </c>
      <c r="F44" s="58" t="s">
        <v>1349</v>
      </c>
      <c r="G44" s="0" t="s">
        <v>362</v>
      </c>
    </row>
    <row r="45" customFormat="false" ht="14.4" hidden="false" customHeight="false" outlineLevel="0" collapsed="false">
      <c r="A45" s="57" t="n">
        <v>113</v>
      </c>
      <c r="B45" s="89" t="s">
        <v>135</v>
      </c>
      <c r="C45" s="147" t="n">
        <v>43427</v>
      </c>
      <c r="D45" s="151" t="n">
        <v>1</v>
      </c>
      <c r="E45" s="36" t="n">
        <v>1</v>
      </c>
      <c r="F45" s="58" t="s">
        <v>1349</v>
      </c>
      <c r="G45" s="0" t="s">
        <v>362</v>
      </c>
    </row>
    <row r="46" customFormat="false" ht="14.4" hidden="false" customHeight="false" outlineLevel="0" collapsed="false">
      <c r="A46" s="57" t="n">
        <v>104</v>
      </c>
      <c r="B46" s="89" t="s">
        <v>126</v>
      </c>
      <c r="C46" s="147" t="n">
        <v>43427</v>
      </c>
      <c r="D46" s="151" t="n">
        <v>10</v>
      </c>
      <c r="E46" s="36" t="n">
        <v>1</v>
      </c>
      <c r="F46" s="58" t="s">
        <v>1349</v>
      </c>
      <c r="G46" s="0" t="s">
        <v>362</v>
      </c>
    </row>
    <row r="47" customFormat="false" ht="14.4" hidden="false" customHeight="false" outlineLevel="0" collapsed="false">
      <c r="A47" s="57" t="n">
        <v>104</v>
      </c>
      <c r="B47" s="89" t="s">
        <v>126</v>
      </c>
      <c r="C47" s="147" t="n">
        <v>43418</v>
      </c>
      <c r="D47" s="151" t="n">
        <v>10</v>
      </c>
      <c r="E47" s="36" t="n">
        <v>1</v>
      </c>
      <c r="F47" s="58" t="s">
        <v>1356</v>
      </c>
      <c r="G47" s="0" t="s">
        <v>362</v>
      </c>
    </row>
    <row r="48" customFormat="false" ht="14.4" hidden="false" customHeight="false" outlineLevel="0" collapsed="false">
      <c r="A48" s="57" t="n">
        <v>104</v>
      </c>
      <c r="B48" s="89" t="s">
        <v>126</v>
      </c>
      <c r="C48" s="147" t="n">
        <v>43357</v>
      </c>
      <c r="D48" s="151" t="n">
        <v>10</v>
      </c>
      <c r="E48" s="36" t="n">
        <v>1</v>
      </c>
      <c r="F48" s="58" t="s">
        <v>1357</v>
      </c>
      <c r="G48" s="0" t="s">
        <v>362</v>
      </c>
    </row>
    <row r="49" customFormat="false" ht="14.4" hidden="false" customHeight="false" outlineLevel="0" collapsed="false">
      <c r="A49" s="57" t="n">
        <v>104</v>
      </c>
      <c r="B49" s="89" t="s">
        <v>126</v>
      </c>
      <c r="C49" s="147" t="n">
        <v>43357</v>
      </c>
      <c r="D49" s="151" t="n">
        <v>12</v>
      </c>
      <c r="E49" s="36" t="n">
        <v>1</v>
      </c>
      <c r="F49" s="58" t="s">
        <v>1356</v>
      </c>
      <c r="G49" s="0" t="s">
        <v>362</v>
      </c>
    </row>
    <row r="50" customFormat="false" ht="14.4" hidden="false" customHeight="false" outlineLevel="0" collapsed="false">
      <c r="A50" s="57" t="n">
        <v>116</v>
      </c>
      <c r="B50" s="89" t="s">
        <v>138</v>
      </c>
      <c r="C50" s="147" t="n">
        <v>43356</v>
      </c>
      <c r="D50" s="151" t="n">
        <v>4</v>
      </c>
      <c r="E50" s="36" t="n">
        <v>1</v>
      </c>
      <c r="F50" s="58" t="n">
        <v>145437</v>
      </c>
      <c r="G50" s="0" t="s">
        <v>1358</v>
      </c>
    </row>
    <row r="51" customFormat="false" ht="14.4" hidden="false" customHeight="false" outlineLevel="0" collapsed="false">
      <c r="A51" s="57" t="n">
        <v>113</v>
      </c>
      <c r="B51" s="89" t="s">
        <v>135</v>
      </c>
      <c r="C51" s="147" t="n">
        <v>43356</v>
      </c>
      <c r="D51" s="151" t="n">
        <v>2</v>
      </c>
      <c r="E51" s="36" t="n">
        <v>1</v>
      </c>
      <c r="F51" s="58" t="n">
        <v>145437</v>
      </c>
      <c r="G51" s="0" t="s">
        <v>15</v>
      </c>
    </row>
    <row r="52" customFormat="false" ht="14.4" hidden="false" customHeight="false" outlineLevel="0" collapsed="false">
      <c r="A52" s="57" t="n">
        <v>115</v>
      </c>
      <c r="B52" s="89" t="s">
        <v>137</v>
      </c>
      <c r="C52" s="147" t="n">
        <v>43356</v>
      </c>
      <c r="D52" s="151" t="n">
        <v>1</v>
      </c>
      <c r="E52" s="36" t="n">
        <v>1</v>
      </c>
      <c r="F52" s="58" t="n">
        <v>145437</v>
      </c>
      <c r="G52" s="0" t="s">
        <v>15</v>
      </c>
    </row>
    <row r="53" customFormat="false" ht="14.4" hidden="false" customHeight="false" outlineLevel="0" collapsed="false">
      <c r="A53" s="57" t="n">
        <v>129</v>
      </c>
      <c r="B53" s="89" t="s">
        <v>151</v>
      </c>
      <c r="C53" s="147" t="n">
        <v>43353</v>
      </c>
      <c r="D53" s="151" t="n">
        <v>1</v>
      </c>
      <c r="E53" s="36" t="n">
        <v>1</v>
      </c>
      <c r="F53" s="58" t="n">
        <v>717408</v>
      </c>
      <c r="G53" s="0" t="s">
        <v>15</v>
      </c>
    </row>
    <row r="54" customFormat="false" ht="14.4" hidden="false" customHeight="false" outlineLevel="0" collapsed="false">
      <c r="A54" s="57" t="n">
        <v>105</v>
      </c>
      <c r="B54" s="89" t="s">
        <v>127</v>
      </c>
      <c r="C54" s="147" t="n">
        <v>43353</v>
      </c>
      <c r="D54" s="151" t="n">
        <v>1</v>
      </c>
      <c r="E54" s="36" t="n">
        <v>1</v>
      </c>
      <c r="F54" s="58" t="n">
        <v>717605</v>
      </c>
      <c r="G54" s="0" t="s">
        <v>15</v>
      </c>
    </row>
    <row r="55" customFormat="false" ht="14.4" hidden="false" customHeight="false" outlineLevel="0" collapsed="false">
      <c r="A55" s="57" t="n">
        <v>107</v>
      </c>
      <c r="B55" s="89" t="s">
        <v>129</v>
      </c>
      <c r="C55" s="147" t="n">
        <v>43353</v>
      </c>
      <c r="D55" s="151" t="n">
        <v>1</v>
      </c>
      <c r="E55" s="36" t="n">
        <v>1</v>
      </c>
      <c r="F55" s="58" t="n">
        <v>717605</v>
      </c>
      <c r="G55" s="0" t="s">
        <v>15</v>
      </c>
    </row>
    <row r="56" customFormat="false" ht="14.4" hidden="false" customHeight="false" outlineLevel="0" collapsed="false">
      <c r="A56" s="57" t="n">
        <v>106</v>
      </c>
      <c r="B56" s="89" t="s">
        <v>128</v>
      </c>
      <c r="C56" s="147" t="n">
        <v>43353</v>
      </c>
      <c r="D56" s="151" t="n">
        <v>1</v>
      </c>
      <c r="E56" s="36" t="n">
        <v>1</v>
      </c>
      <c r="F56" s="58" t="n">
        <v>717605</v>
      </c>
      <c r="G56" s="0" t="s">
        <v>15</v>
      </c>
    </row>
    <row r="57" customFormat="false" ht="14.4" hidden="false" customHeight="false" outlineLevel="0" collapsed="false">
      <c r="A57" s="57" t="n">
        <v>104</v>
      </c>
      <c r="B57" s="89" t="s">
        <v>126</v>
      </c>
      <c r="C57" s="147" t="n">
        <v>43346</v>
      </c>
      <c r="D57" s="151" t="n">
        <v>5</v>
      </c>
      <c r="E57" s="36" t="n">
        <v>1</v>
      </c>
      <c r="F57" s="58" t="s">
        <v>1359</v>
      </c>
      <c r="G57" s="0" t="s">
        <v>15</v>
      </c>
    </row>
    <row r="58" customFormat="false" ht="27.4" hidden="false" customHeight="false" outlineLevel="0" collapsed="false">
      <c r="A58" s="57" t="n">
        <v>17</v>
      </c>
      <c r="B58" s="89" t="s">
        <v>39</v>
      </c>
      <c r="C58" s="147" t="n">
        <v>43298</v>
      </c>
      <c r="D58" s="151" t="n">
        <v>3</v>
      </c>
      <c r="E58" s="36" t="n">
        <v>1</v>
      </c>
      <c r="F58" s="58" t="s">
        <v>1360</v>
      </c>
      <c r="G58" s="0" t="s">
        <v>15</v>
      </c>
    </row>
    <row r="59" customFormat="false" ht="14.4" hidden="false" customHeight="false" outlineLevel="0" collapsed="false">
      <c r="A59" s="57" t="n">
        <v>78</v>
      </c>
      <c r="B59" s="89" t="s">
        <v>100</v>
      </c>
      <c r="C59" s="147" t="n">
        <v>43298</v>
      </c>
      <c r="D59" s="151" t="n">
        <v>1</v>
      </c>
      <c r="E59" s="36" t="n">
        <v>1</v>
      </c>
      <c r="F59" s="58" t="s">
        <v>1361</v>
      </c>
      <c r="G59" s="0" t="s">
        <v>15</v>
      </c>
    </row>
    <row r="60" customFormat="false" ht="14.4" hidden="false" customHeight="false" outlineLevel="0" collapsed="false">
      <c r="A60" s="57" t="n">
        <v>114</v>
      </c>
      <c r="B60" s="89" t="s">
        <v>923</v>
      </c>
      <c r="C60" s="147" t="n">
        <v>43264</v>
      </c>
      <c r="D60" s="151" t="n">
        <v>1</v>
      </c>
      <c r="E60" s="36" t="n">
        <v>1</v>
      </c>
      <c r="F60" s="58" t="s">
        <v>1362</v>
      </c>
      <c r="G60" s="0" t="s">
        <v>15</v>
      </c>
    </row>
    <row r="61" customFormat="false" ht="14.4" hidden="false" customHeight="false" outlineLevel="0" collapsed="false">
      <c r="A61" s="57" t="n">
        <v>115</v>
      </c>
      <c r="B61" s="89" t="s">
        <v>867</v>
      </c>
      <c r="C61" s="147" t="n">
        <v>43264</v>
      </c>
      <c r="D61" s="151" t="n">
        <v>1</v>
      </c>
      <c r="E61" s="36" t="n">
        <v>1</v>
      </c>
      <c r="F61" s="58" t="s">
        <v>1362</v>
      </c>
      <c r="G61" s="0" t="s">
        <v>15</v>
      </c>
    </row>
    <row r="62" customFormat="false" ht="14.4" hidden="false" customHeight="false" outlineLevel="0" collapsed="false">
      <c r="A62" s="57" t="n">
        <v>116</v>
      </c>
      <c r="B62" s="89" t="s">
        <v>883</v>
      </c>
      <c r="C62" s="147" t="n">
        <v>43264</v>
      </c>
      <c r="D62" s="151" t="n">
        <v>3</v>
      </c>
      <c r="E62" s="36" t="n">
        <v>1</v>
      </c>
      <c r="F62" s="58" t="s">
        <v>1363</v>
      </c>
      <c r="G62" s="0" t="s">
        <v>15</v>
      </c>
    </row>
    <row r="63" customFormat="false" ht="14.4" hidden="false" customHeight="false" outlineLevel="0" collapsed="false">
      <c r="A63" s="57" t="n">
        <v>18</v>
      </c>
      <c r="B63" s="89" t="s">
        <v>40</v>
      </c>
      <c r="C63" s="147" t="n">
        <v>43249</v>
      </c>
      <c r="D63" s="151" t="n">
        <v>8</v>
      </c>
      <c r="E63" s="36" t="n">
        <v>1</v>
      </c>
      <c r="F63" s="58" t="s">
        <v>1364</v>
      </c>
      <c r="G63" s="0" t="s">
        <v>15</v>
      </c>
    </row>
    <row r="64" customFormat="false" ht="14.4" hidden="false" customHeight="false" outlineLevel="0" collapsed="false">
      <c r="A64" s="57" t="n">
        <v>18</v>
      </c>
      <c r="B64" s="89" t="s">
        <v>40</v>
      </c>
      <c r="C64" s="147" t="n">
        <v>43249</v>
      </c>
      <c r="D64" s="151" t="n">
        <v>2</v>
      </c>
      <c r="E64" s="36" t="n">
        <v>1</v>
      </c>
      <c r="F64" s="58" t="s">
        <v>1365</v>
      </c>
      <c r="G64" s="0" t="s">
        <v>15</v>
      </c>
    </row>
    <row r="65" customFormat="false" ht="14.4" hidden="false" customHeight="false" outlineLevel="0" collapsed="false">
      <c r="A65" s="57" t="n">
        <v>94</v>
      </c>
      <c r="B65" s="89" t="s">
        <v>116</v>
      </c>
      <c r="C65" s="147" t="n">
        <v>43231</v>
      </c>
      <c r="D65" s="151" t="n">
        <v>1</v>
      </c>
      <c r="E65" s="36" t="n">
        <v>1</v>
      </c>
      <c r="F65" s="58" t="s">
        <v>1366</v>
      </c>
      <c r="G65" s="0" t="s">
        <v>15</v>
      </c>
    </row>
    <row r="66" customFormat="false" ht="14.4" hidden="false" customHeight="false" outlineLevel="0" collapsed="false">
      <c r="A66" s="57" t="n">
        <v>18</v>
      </c>
      <c r="B66" s="89" t="s">
        <v>40</v>
      </c>
      <c r="C66" s="147" t="n">
        <v>43231</v>
      </c>
      <c r="D66" s="151" t="n">
        <v>3</v>
      </c>
      <c r="E66" s="36" t="n">
        <v>1</v>
      </c>
      <c r="F66" s="58" t="s">
        <v>1367</v>
      </c>
      <c r="G66" s="0" t="s">
        <v>15</v>
      </c>
    </row>
    <row r="67" customFormat="false" ht="14.4" hidden="false" customHeight="false" outlineLevel="0" collapsed="false">
      <c r="A67" s="57" t="n">
        <v>18</v>
      </c>
      <c r="B67" s="89" t="s">
        <v>40</v>
      </c>
      <c r="C67" s="147" t="n">
        <v>43231</v>
      </c>
      <c r="D67" s="151" t="n">
        <v>5</v>
      </c>
      <c r="E67" s="36" t="n">
        <v>1</v>
      </c>
      <c r="F67" s="58" t="s">
        <v>1368</v>
      </c>
      <c r="G67" s="0" t="s">
        <v>15</v>
      </c>
    </row>
    <row r="68" customFormat="false" ht="14.4" hidden="false" customHeight="false" outlineLevel="0" collapsed="false">
      <c r="A68" s="57" t="n">
        <v>104</v>
      </c>
      <c r="B68" s="89" t="s">
        <v>126</v>
      </c>
      <c r="C68" s="147" t="n">
        <v>43227</v>
      </c>
      <c r="D68" s="151" t="n">
        <v>25</v>
      </c>
      <c r="E68" s="36" t="n">
        <v>1</v>
      </c>
      <c r="F68" s="58" t="s">
        <v>1369</v>
      </c>
      <c r="G68" s="0" t="s">
        <v>15</v>
      </c>
    </row>
    <row r="69" customFormat="false" ht="14.4" hidden="false" customHeight="false" outlineLevel="0" collapsed="false">
      <c r="A69" s="57" t="n">
        <v>104</v>
      </c>
      <c r="B69" s="89" t="s">
        <v>126</v>
      </c>
      <c r="C69" s="147" t="n">
        <v>43224</v>
      </c>
      <c r="D69" s="151" t="n">
        <v>5</v>
      </c>
      <c r="E69" s="36" t="n">
        <v>1</v>
      </c>
      <c r="F69" s="58" t="s">
        <v>1370</v>
      </c>
      <c r="G69" s="0" t="s">
        <v>15</v>
      </c>
    </row>
    <row r="70" customFormat="false" ht="14.4" hidden="false" customHeight="false" outlineLevel="0" collapsed="false">
      <c r="A70" s="57" t="n">
        <v>104</v>
      </c>
      <c r="B70" s="89" t="s">
        <v>126</v>
      </c>
      <c r="C70" s="147" t="n">
        <v>43220</v>
      </c>
      <c r="D70" s="151" t="n">
        <v>10</v>
      </c>
      <c r="E70" s="36" t="n">
        <v>1</v>
      </c>
      <c r="F70" s="58" t="s">
        <v>1371</v>
      </c>
      <c r="G70" s="0" t="s">
        <v>15</v>
      </c>
    </row>
    <row r="71" customFormat="false" ht="14.4" hidden="false" customHeight="false" outlineLevel="0" collapsed="false">
      <c r="A71" s="57" t="n">
        <v>104</v>
      </c>
      <c r="B71" s="89" t="s">
        <v>126</v>
      </c>
      <c r="C71" s="147" t="n">
        <v>43216</v>
      </c>
      <c r="D71" s="151" t="n">
        <v>4</v>
      </c>
      <c r="E71" s="36" t="n">
        <v>1</v>
      </c>
      <c r="F71" s="58" t="s">
        <v>1372</v>
      </c>
      <c r="G71" s="0" t="s">
        <v>15</v>
      </c>
    </row>
    <row r="72" customFormat="false" ht="14.4" hidden="false" customHeight="false" outlineLevel="0" collapsed="false">
      <c r="A72" s="57" t="n">
        <v>104</v>
      </c>
      <c r="B72" s="89" t="s">
        <v>126</v>
      </c>
      <c r="C72" s="147" t="n">
        <v>43216</v>
      </c>
      <c r="D72" s="151" t="n">
        <v>4</v>
      </c>
      <c r="E72" s="36" t="n">
        <v>1</v>
      </c>
      <c r="F72" s="58" t="s">
        <v>1373</v>
      </c>
      <c r="G72" s="0" t="s">
        <v>15</v>
      </c>
    </row>
    <row r="73" customFormat="false" ht="14.4" hidden="false" customHeight="false" outlineLevel="0" collapsed="false">
      <c r="A73" s="57" t="n">
        <v>18</v>
      </c>
      <c r="B73" s="89" t="s">
        <v>40</v>
      </c>
      <c r="C73" s="147" t="n">
        <v>43208</v>
      </c>
      <c r="D73" s="151" t="n">
        <v>3</v>
      </c>
      <c r="E73" s="36" t="n">
        <v>1</v>
      </c>
      <c r="F73" s="58" t="s">
        <v>1374</v>
      </c>
      <c r="G73" s="0" t="s">
        <v>15</v>
      </c>
    </row>
    <row r="74" customFormat="false" ht="14.4" hidden="false" customHeight="false" outlineLevel="0" collapsed="false">
      <c r="A74" s="57" t="n">
        <v>104</v>
      </c>
      <c r="B74" s="89" t="s">
        <v>126</v>
      </c>
      <c r="C74" s="147" t="n">
        <v>43203</v>
      </c>
      <c r="D74" s="151" t="n">
        <v>9</v>
      </c>
      <c r="E74" s="36" t="n">
        <v>1</v>
      </c>
      <c r="F74" s="58" t="s">
        <v>1375</v>
      </c>
      <c r="G74" s="0" t="s">
        <v>362</v>
      </c>
    </row>
    <row r="75" customFormat="false" ht="14.4" hidden="false" customHeight="false" outlineLevel="0" collapsed="false">
      <c r="A75" s="57" t="n">
        <v>23</v>
      </c>
      <c r="B75" s="89" t="s">
        <v>45</v>
      </c>
      <c r="C75" s="147" t="n">
        <v>43201</v>
      </c>
      <c r="D75" s="151" t="n">
        <v>1</v>
      </c>
      <c r="E75" s="36" t="n">
        <v>1</v>
      </c>
      <c r="F75" s="58" t="s">
        <v>1373</v>
      </c>
      <c r="G75" s="0" t="s">
        <v>362</v>
      </c>
    </row>
    <row r="76" customFormat="false" ht="14.4" hidden="false" customHeight="false" outlineLevel="0" collapsed="false">
      <c r="A76" s="57" t="n">
        <v>104</v>
      </c>
      <c r="B76" s="89" t="s">
        <v>126</v>
      </c>
      <c r="C76" s="147" t="n">
        <v>43201</v>
      </c>
      <c r="D76" s="151" t="n">
        <v>5</v>
      </c>
      <c r="E76" s="36" t="n">
        <v>1</v>
      </c>
      <c r="F76" s="58" t="s">
        <v>1376</v>
      </c>
      <c r="G76" s="0" t="s">
        <v>362</v>
      </c>
    </row>
    <row r="77" customFormat="false" ht="14.4" hidden="false" customHeight="false" outlineLevel="0" collapsed="false">
      <c r="A77" s="57" t="n">
        <v>104</v>
      </c>
      <c r="B77" s="89" t="s">
        <v>126</v>
      </c>
      <c r="C77" s="147" t="n">
        <v>43195</v>
      </c>
      <c r="D77" s="151" t="n">
        <v>9</v>
      </c>
      <c r="E77" s="36" t="n">
        <v>1</v>
      </c>
      <c r="F77" s="58" t="s">
        <v>1377</v>
      </c>
      <c r="G77" s="0" t="s">
        <v>362</v>
      </c>
    </row>
    <row r="78" customFormat="false" ht="14.4" hidden="false" customHeight="false" outlineLevel="0" collapsed="false">
      <c r="A78" s="57" t="n">
        <v>104</v>
      </c>
      <c r="B78" s="89" t="s">
        <v>126</v>
      </c>
      <c r="C78" s="147" t="n">
        <v>43188</v>
      </c>
      <c r="D78" s="151" t="n">
        <v>10</v>
      </c>
      <c r="E78" s="36" t="n">
        <v>1</v>
      </c>
      <c r="F78" s="58" t="s">
        <v>1378</v>
      </c>
      <c r="G78" s="0" t="s">
        <v>15</v>
      </c>
    </row>
    <row r="79" customFormat="false" ht="14.4" hidden="false" customHeight="false" outlineLevel="0" collapsed="false">
      <c r="A79" s="57" t="n">
        <v>116</v>
      </c>
      <c r="B79" s="89" t="s">
        <v>883</v>
      </c>
      <c r="C79" s="147" t="n">
        <v>43160</v>
      </c>
      <c r="D79" s="151" t="n">
        <v>3</v>
      </c>
      <c r="E79" s="36" t="n">
        <v>1</v>
      </c>
      <c r="F79" s="58" t="n">
        <v>139443</v>
      </c>
      <c r="G79" s="0" t="s">
        <v>15</v>
      </c>
    </row>
    <row r="80" customFormat="false" ht="14.4" hidden="false" customHeight="false" outlineLevel="0" collapsed="false">
      <c r="A80" s="57" t="n">
        <v>114</v>
      </c>
      <c r="B80" s="89" t="s">
        <v>923</v>
      </c>
      <c r="C80" s="147" t="n">
        <v>43160</v>
      </c>
      <c r="D80" s="151" t="n">
        <v>1</v>
      </c>
      <c r="E80" s="36" t="n">
        <v>1</v>
      </c>
      <c r="F80" s="58" t="n">
        <v>139449</v>
      </c>
      <c r="G80" s="0" t="s">
        <v>15</v>
      </c>
    </row>
    <row r="81" customFormat="false" ht="14.4" hidden="false" customHeight="false" outlineLevel="0" collapsed="false">
      <c r="A81" s="57" t="n">
        <v>18</v>
      </c>
      <c r="B81" s="89" t="s">
        <v>40</v>
      </c>
      <c r="C81" s="147" t="n">
        <v>43160</v>
      </c>
      <c r="D81" s="151" t="n">
        <v>2</v>
      </c>
      <c r="E81" s="36" t="n">
        <v>1</v>
      </c>
      <c r="F81" s="58" t="s">
        <v>1379</v>
      </c>
      <c r="G81" s="0" t="s">
        <v>15</v>
      </c>
    </row>
    <row r="82" customFormat="false" ht="14.4" hidden="false" customHeight="false" outlineLevel="0" collapsed="false">
      <c r="A82" s="57" t="n">
        <v>115</v>
      </c>
      <c r="B82" s="89" t="s">
        <v>867</v>
      </c>
      <c r="C82" s="147" t="n">
        <v>43146</v>
      </c>
      <c r="D82" s="151" t="n">
        <v>1</v>
      </c>
      <c r="E82" s="36" t="n">
        <v>1</v>
      </c>
      <c r="F82" s="58" t="s">
        <v>1380</v>
      </c>
      <c r="G82" s="0" t="s">
        <v>15</v>
      </c>
    </row>
    <row r="83" customFormat="false" ht="14.4" hidden="false" customHeight="false" outlineLevel="0" collapsed="false">
      <c r="A83" s="57" t="n">
        <v>114</v>
      </c>
      <c r="B83" s="89" t="s">
        <v>923</v>
      </c>
      <c r="C83" s="147" t="n">
        <v>43146</v>
      </c>
      <c r="D83" s="151" t="n">
        <v>1</v>
      </c>
      <c r="E83" s="36" t="n">
        <v>1</v>
      </c>
      <c r="F83" s="58" t="s">
        <v>1380</v>
      </c>
      <c r="G83" s="0" t="s">
        <v>15</v>
      </c>
    </row>
    <row r="84" customFormat="false" ht="14.4" hidden="false" customHeight="false" outlineLevel="0" collapsed="false">
      <c r="A84" s="57" t="n">
        <v>113</v>
      </c>
      <c r="B84" s="89" t="s">
        <v>135</v>
      </c>
      <c r="C84" s="147" t="n">
        <v>43146</v>
      </c>
      <c r="D84" s="151" t="n">
        <v>1</v>
      </c>
      <c r="E84" s="36" t="n">
        <v>1</v>
      </c>
      <c r="F84" s="58" t="s">
        <v>1380</v>
      </c>
      <c r="G84" s="0" t="s">
        <v>15</v>
      </c>
    </row>
    <row r="85" customFormat="false" ht="14.4" hidden="false" customHeight="false" outlineLevel="0" collapsed="false">
      <c r="A85" s="57" t="n">
        <v>116</v>
      </c>
      <c r="B85" s="89" t="s">
        <v>883</v>
      </c>
      <c r="C85" s="147" t="n">
        <v>43146</v>
      </c>
      <c r="D85" s="151" t="n">
        <v>3</v>
      </c>
      <c r="E85" s="36" t="n">
        <v>1</v>
      </c>
      <c r="F85" s="58" t="s">
        <v>1381</v>
      </c>
      <c r="G85" s="0" t="s">
        <v>15</v>
      </c>
    </row>
    <row r="86" customFormat="false" ht="14.4" hidden="false" customHeight="false" outlineLevel="0" collapsed="false">
      <c r="A86" s="57" t="n">
        <v>104</v>
      </c>
      <c r="B86" s="89" t="s">
        <v>126</v>
      </c>
      <c r="C86" s="147" t="n">
        <v>43138</v>
      </c>
      <c r="D86" s="151" t="n">
        <v>39</v>
      </c>
      <c r="E86" s="36" t="n">
        <v>1</v>
      </c>
      <c r="F86" s="58" t="s">
        <v>1382</v>
      </c>
      <c r="G86" s="0" t="s">
        <v>15</v>
      </c>
    </row>
    <row r="87" customFormat="false" ht="14.4" hidden="false" customHeight="false" outlineLevel="0" collapsed="false">
      <c r="A87" s="57" t="n">
        <v>9</v>
      </c>
      <c r="B87" s="89" t="s">
        <v>31</v>
      </c>
      <c r="C87" s="147" t="n">
        <v>43136</v>
      </c>
      <c r="D87" s="151" t="n">
        <v>2</v>
      </c>
      <c r="E87" s="36" t="n">
        <v>1</v>
      </c>
      <c r="F87" s="58" t="s">
        <v>1383</v>
      </c>
      <c r="G87" s="0" t="s">
        <v>15</v>
      </c>
    </row>
    <row r="88" customFormat="false" ht="14.4" hidden="false" customHeight="false" outlineLevel="0" collapsed="false">
      <c r="A88" s="57" t="n">
        <v>73</v>
      </c>
      <c r="B88" s="89" t="s">
        <v>95</v>
      </c>
      <c r="C88" s="147" t="n">
        <v>43136</v>
      </c>
      <c r="D88" s="151" t="n">
        <v>6</v>
      </c>
      <c r="E88" s="36" t="n">
        <v>1</v>
      </c>
      <c r="F88" s="58" t="s">
        <v>1384</v>
      </c>
      <c r="G88" s="0" t="s">
        <v>15</v>
      </c>
    </row>
    <row r="89" customFormat="false" ht="14.4" hidden="false" customHeight="false" outlineLevel="0" collapsed="false">
      <c r="A89" s="57" t="n">
        <v>104</v>
      </c>
      <c r="B89" s="89" t="s">
        <v>126</v>
      </c>
      <c r="C89" s="147" t="n">
        <v>43054</v>
      </c>
      <c r="D89" s="151" t="n">
        <v>61</v>
      </c>
      <c r="E89" s="36" t="n">
        <v>1</v>
      </c>
      <c r="F89" s="58" t="s">
        <v>1385</v>
      </c>
      <c r="G89" s="0" t="s">
        <v>15</v>
      </c>
    </row>
    <row r="90" customFormat="false" ht="27.4" hidden="false" customHeight="false" outlineLevel="0" collapsed="false">
      <c r="A90" s="57" t="n">
        <v>104</v>
      </c>
      <c r="B90" s="89" t="s">
        <v>126</v>
      </c>
      <c r="C90" s="147" t="n">
        <v>43115</v>
      </c>
      <c r="D90" s="151" t="n">
        <v>5</v>
      </c>
      <c r="E90" s="36" t="n">
        <v>1</v>
      </c>
      <c r="F90" s="58" t="s">
        <v>1386</v>
      </c>
      <c r="G90" s="0" t="s">
        <v>15</v>
      </c>
    </row>
    <row r="91" customFormat="false" ht="14.4" hidden="false" customHeight="false" outlineLevel="0" collapsed="false">
      <c r="A91" s="57" t="n">
        <v>18</v>
      </c>
      <c r="B91" s="89" t="s">
        <v>40</v>
      </c>
      <c r="C91" s="147" t="n">
        <v>43115</v>
      </c>
      <c r="D91" s="151" t="n">
        <v>1</v>
      </c>
      <c r="E91" s="36" t="n">
        <v>1</v>
      </c>
      <c r="F91" s="58" t="s">
        <v>1387</v>
      </c>
      <c r="G91" s="0" t="s">
        <v>15</v>
      </c>
    </row>
    <row r="92" customFormat="false" ht="14.4" hidden="false" customHeight="false" outlineLevel="0" collapsed="false">
      <c r="A92" s="57" t="n">
        <v>78</v>
      </c>
      <c r="B92" s="89" t="s">
        <v>100</v>
      </c>
      <c r="C92" s="147" t="n">
        <v>43115</v>
      </c>
      <c r="D92" s="151" t="n">
        <v>1</v>
      </c>
      <c r="E92" s="36" t="n">
        <v>1</v>
      </c>
      <c r="F92" s="58" t="s">
        <v>1388</v>
      </c>
      <c r="G92" s="0" t="s">
        <v>15</v>
      </c>
    </row>
    <row r="93" customFormat="false" ht="14.4" hidden="false" customHeight="false" outlineLevel="0" collapsed="false">
      <c r="A93" s="57" t="n">
        <v>18</v>
      </c>
      <c r="B93" s="89" t="s">
        <v>40</v>
      </c>
      <c r="C93" s="147" t="n">
        <v>43115</v>
      </c>
      <c r="D93" s="151" t="n">
        <v>2</v>
      </c>
      <c r="E93" s="36" t="n">
        <v>1</v>
      </c>
      <c r="F93" s="58" t="s">
        <v>1389</v>
      </c>
      <c r="G93" s="0" t="s">
        <v>15</v>
      </c>
    </row>
    <row r="94" customFormat="false" ht="14.4" hidden="false" customHeight="false" outlineLevel="0" collapsed="false">
      <c r="A94" s="57" t="n">
        <v>78</v>
      </c>
      <c r="B94" s="89" t="s">
        <v>100</v>
      </c>
      <c r="C94" s="147" t="n">
        <v>43115</v>
      </c>
      <c r="D94" s="151" t="n">
        <v>2</v>
      </c>
      <c r="E94" s="36" t="n">
        <v>1</v>
      </c>
      <c r="F94" s="58" t="s">
        <v>1390</v>
      </c>
      <c r="G94" s="0" t="s">
        <v>15</v>
      </c>
    </row>
    <row r="95" customFormat="false" ht="14.4" hidden="false" customHeight="false" outlineLevel="0" collapsed="false">
      <c r="A95" s="57" t="n">
        <v>116</v>
      </c>
      <c r="B95" s="89" t="s">
        <v>883</v>
      </c>
      <c r="C95" s="147" t="n">
        <v>43105</v>
      </c>
      <c r="D95" s="151" t="n">
        <v>1</v>
      </c>
      <c r="E95" s="36" t="n">
        <v>1</v>
      </c>
      <c r="F95" s="58" t="s">
        <v>1391</v>
      </c>
      <c r="G95" s="0" t="s">
        <v>15</v>
      </c>
    </row>
    <row r="96" customFormat="false" ht="14.4" hidden="false" customHeight="false" outlineLevel="0" collapsed="false">
      <c r="A96" s="57" t="n">
        <v>115</v>
      </c>
      <c r="B96" s="89" t="s">
        <v>867</v>
      </c>
      <c r="C96" s="147" t="n">
        <v>43105</v>
      </c>
      <c r="D96" s="151" t="n">
        <v>1</v>
      </c>
      <c r="E96" s="36" t="n">
        <v>1</v>
      </c>
      <c r="F96" s="58" t="s">
        <v>1391</v>
      </c>
      <c r="G96" s="0" t="s">
        <v>15</v>
      </c>
    </row>
    <row r="97" customFormat="false" ht="14.4" hidden="false" customHeight="false" outlineLevel="0" collapsed="false">
      <c r="A97" s="57" t="n">
        <v>113</v>
      </c>
      <c r="B97" s="89" t="s">
        <v>135</v>
      </c>
      <c r="C97" s="147" t="n">
        <v>43105</v>
      </c>
      <c r="D97" s="151" t="n">
        <v>2</v>
      </c>
      <c r="E97" s="36" t="n">
        <v>1</v>
      </c>
      <c r="F97" s="58" t="s">
        <v>1391</v>
      </c>
      <c r="G97" s="0" t="s">
        <v>15</v>
      </c>
    </row>
    <row r="98" customFormat="false" ht="14.4" hidden="false" customHeight="false" outlineLevel="0" collapsed="false">
      <c r="A98" s="57" t="n">
        <v>114</v>
      </c>
      <c r="B98" s="89" t="s">
        <v>923</v>
      </c>
      <c r="C98" s="147" t="n">
        <v>43105</v>
      </c>
      <c r="D98" s="151" t="n">
        <v>3</v>
      </c>
      <c r="E98" s="36" t="n">
        <v>1</v>
      </c>
      <c r="F98" s="58" t="s">
        <v>1391</v>
      </c>
      <c r="G98" s="0" t="s">
        <v>15</v>
      </c>
    </row>
    <row r="99" customFormat="false" ht="14.4" hidden="false" customHeight="false" outlineLevel="0" collapsed="false">
      <c r="A99" s="57" t="n">
        <v>104</v>
      </c>
      <c r="B99" s="89" t="s">
        <v>126</v>
      </c>
      <c r="C99" s="147" t="n">
        <v>43105</v>
      </c>
      <c r="D99" s="151" t="n">
        <v>30</v>
      </c>
      <c r="E99" s="36" t="n">
        <v>1</v>
      </c>
      <c r="F99" s="58" t="s">
        <v>1392</v>
      </c>
      <c r="G99" s="0" t="s">
        <v>15</v>
      </c>
    </row>
    <row r="100" customFormat="false" ht="14.4" hidden="false" customHeight="false" outlineLevel="0" collapsed="false">
      <c r="A100" s="57" t="n">
        <v>18</v>
      </c>
      <c r="B100" s="89" t="s">
        <v>40</v>
      </c>
      <c r="C100" s="147" t="n">
        <v>43103</v>
      </c>
      <c r="D100" s="151" t="n">
        <v>3</v>
      </c>
      <c r="E100" s="36" t="n">
        <v>1</v>
      </c>
      <c r="F100" s="58" t="s">
        <v>1393</v>
      </c>
      <c r="G100" s="0" t="s">
        <v>15</v>
      </c>
    </row>
    <row r="101" customFormat="false" ht="14.4" hidden="false" customHeight="false" outlineLevel="0" collapsed="false">
      <c r="A101" s="57" t="n">
        <v>36</v>
      </c>
      <c r="B101" s="89" t="s">
        <v>58</v>
      </c>
      <c r="C101" s="147" t="n">
        <v>43070</v>
      </c>
      <c r="D101" s="151" t="n">
        <v>15</v>
      </c>
      <c r="E101" s="36" t="n">
        <v>1</v>
      </c>
      <c r="F101" s="58" t="s">
        <v>1394</v>
      </c>
      <c r="G101" s="0" t="s">
        <v>15</v>
      </c>
    </row>
    <row r="102" customFormat="false" ht="13.8" hidden="false" customHeight="false" outlineLevel="0" collapsed="false">
      <c r="A102" s="57" t="n">
        <v>58</v>
      </c>
      <c r="B102" s="89" t="s">
        <v>80</v>
      </c>
      <c r="C102" s="147" t="n">
        <v>43091</v>
      </c>
      <c r="D102" s="151" t="n">
        <v>17</v>
      </c>
      <c r="E102" s="36" t="n">
        <v>1</v>
      </c>
      <c r="F102" s="58"/>
      <c r="G102" s="0" t="s">
        <v>15</v>
      </c>
    </row>
    <row r="103" customFormat="false" ht="14.4" hidden="false" customHeight="false" outlineLevel="0" collapsed="false">
      <c r="A103" s="57" t="n">
        <v>59</v>
      </c>
      <c r="B103" s="89" t="s">
        <v>81</v>
      </c>
      <c r="C103" s="147" t="n">
        <v>43046</v>
      </c>
      <c r="D103" s="151" t="n">
        <v>3</v>
      </c>
      <c r="E103" s="36" t="n">
        <v>1</v>
      </c>
      <c r="F103" s="58" t="n">
        <v>305844</v>
      </c>
      <c r="G103" s="0" t="s">
        <v>15</v>
      </c>
    </row>
    <row r="104" customFormat="false" ht="14.4" hidden="false" customHeight="false" outlineLevel="0" collapsed="false">
      <c r="A104" s="57" t="n">
        <v>18</v>
      </c>
      <c r="B104" s="89" t="s">
        <v>40</v>
      </c>
      <c r="C104" s="147" t="n">
        <v>43046</v>
      </c>
      <c r="D104" s="151" t="n">
        <v>2</v>
      </c>
      <c r="E104" s="36" t="n">
        <v>1</v>
      </c>
      <c r="F104" s="58" t="s">
        <v>1395</v>
      </c>
      <c r="G104" s="0" t="s">
        <v>15</v>
      </c>
    </row>
    <row r="105" customFormat="false" ht="14.4" hidden="false" customHeight="false" outlineLevel="0" collapsed="false">
      <c r="A105" s="57" t="n">
        <v>68</v>
      </c>
      <c r="B105" s="89" t="s">
        <v>90</v>
      </c>
      <c r="C105" s="147" t="n">
        <v>43048</v>
      </c>
      <c r="D105" s="151" t="n">
        <v>2</v>
      </c>
      <c r="E105" s="36" t="n">
        <v>1</v>
      </c>
      <c r="F105" s="58" t="s">
        <v>1396</v>
      </c>
      <c r="G105" s="0" t="s">
        <v>15</v>
      </c>
    </row>
    <row r="106" customFormat="false" ht="14.4" hidden="false" customHeight="false" outlineLevel="0" collapsed="false">
      <c r="A106" s="57" t="n">
        <v>18</v>
      </c>
      <c r="B106" s="89" t="s">
        <v>40</v>
      </c>
      <c r="C106" s="147" t="n">
        <v>43046</v>
      </c>
      <c r="D106" s="151" t="n">
        <v>3</v>
      </c>
      <c r="E106" s="36" t="n">
        <v>1</v>
      </c>
      <c r="F106" s="58" t="s">
        <v>1397</v>
      </c>
      <c r="G106" s="0" t="s">
        <v>15</v>
      </c>
    </row>
    <row r="107" customFormat="false" ht="14.4" hidden="false" customHeight="false" outlineLevel="0" collapsed="false">
      <c r="A107" s="57" t="n">
        <v>18</v>
      </c>
      <c r="B107" s="89" t="s">
        <v>40</v>
      </c>
      <c r="C107" s="147" t="n">
        <v>43035</v>
      </c>
      <c r="D107" s="151" t="n">
        <v>2</v>
      </c>
      <c r="E107" s="36" t="n">
        <v>1</v>
      </c>
      <c r="F107" s="58" t="n">
        <v>806</v>
      </c>
      <c r="G107" s="0" t="s">
        <v>15</v>
      </c>
    </row>
    <row r="108" customFormat="false" ht="14.4" hidden="false" customHeight="false" outlineLevel="0" collapsed="false">
      <c r="A108" s="57" t="n">
        <v>131</v>
      </c>
      <c r="B108" s="89" t="s">
        <v>153</v>
      </c>
      <c r="C108" s="147" t="n">
        <v>43033</v>
      </c>
      <c r="D108" s="151" t="n">
        <v>1</v>
      </c>
      <c r="E108" s="36" t="n">
        <v>1</v>
      </c>
      <c r="F108" s="58" t="n">
        <v>30514</v>
      </c>
      <c r="G108" s="0" t="s">
        <v>15</v>
      </c>
    </row>
    <row r="109" customFormat="false" ht="14.4" hidden="false" customHeight="false" outlineLevel="0" collapsed="false">
      <c r="A109" s="57" t="n">
        <v>125</v>
      </c>
      <c r="B109" s="89" t="s">
        <v>147</v>
      </c>
      <c r="C109" s="147" t="n">
        <v>43033</v>
      </c>
      <c r="D109" s="151" t="n">
        <v>2</v>
      </c>
      <c r="E109" s="36" t="n">
        <v>1</v>
      </c>
      <c r="F109" s="58" t="n">
        <v>30514</v>
      </c>
      <c r="G109" s="0" t="s">
        <v>15</v>
      </c>
    </row>
    <row r="110" customFormat="false" ht="14.4" hidden="false" customHeight="false" outlineLevel="0" collapsed="false">
      <c r="A110" s="57" t="n">
        <v>112</v>
      </c>
      <c r="B110" s="89" t="s">
        <v>134</v>
      </c>
      <c r="C110" s="147" t="n">
        <v>43025</v>
      </c>
      <c r="D110" s="151" t="n">
        <v>1</v>
      </c>
      <c r="E110" s="36" t="n">
        <v>1</v>
      </c>
      <c r="F110" s="58" t="s">
        <v>1398</v>
      </c>
      <c r="G110" s="0" t="s">
        <v>15</v>
      </c>
    </row>
    <row r="111" customFormat="false" ht="14.4" hidden="false" customHeight="false" outlineLevel="0" collapsed="false">
      <c r="A111" s="57" t="n">
        <v>27</v>
      </c>
      <c r="B111" s="89" t="s">
        <v>49</v>
      </c>
      <c r="C111" s="147" t="n">
        <v>43025</v>
      </c>
      <c r="D111" s="151" t="n">
        <v>1</v>
      </c>
      <c r="E111" s="36" t="n">
        <v>1</v>
      </c>
      <c r="F111" s="58" t="s">
        <v>1399</v>
      </c>
      <c r="G111" s="0" t="s">
        <v>15</v>
      </c>
    </row>
    <row r="112" customFormat="false" ht="14.4" hidden="false" customHeight="false" outlineLevel="0" collapsed="false">
      <c r="A112" s="57" t="n">
        <v>104</v>
      </c>
      <c r="B112" s="89" t="s">
        <v>126</v>
      </c>
      <c r="C112" s="147" t="n">
        <v>43024</v>
      </c>
      <c r="D112" s="151" t="n">
        <v>15</v>
      </c>
      <c r="E112" s="36" t="n">
        <v>1</v>
      </c>
      <c r="F112" s="58" t="s">
        <v>1400</v>
      </c>
      <c r="G112" s="0" t="s">
        <v>12</v>
      </c>
    </row>
    <row r="113" customFormat="false" ht="14.4" hidden="false" customHeight="false" outlineLevel="0" collapsed="false">
      <c r="A113" s="57" t="n">
        <v>104</v>
      </c>
      <c r="B113" s="89" t="s">
        <v>126</v>
      </c>
      <c r="C113" s="147" t="n">
        <v>43019</v>
      </c>
      <c r="D113" s="151" t="n">
        <v>1</v>
      </c>
      <c r="E113" s="36" t="n">
        <v>1</v>
      </c>
      <c r="F113" s="58" t="s">
        <v>1401</v>
      </c>
      <c r="G113" s="0" t="s">
        <v>15</v>
      </c>
    </row>
    <row r="114" customFormat="false" ht="14.4" hidden="false" customHeight="false" outlineLevel="0" collapsed="false">
      <c r="A114" s="57" t="n">
        <v>98</v>
      </c>
      <c r="B114" s="89" t="s">
        <v>120</v>
      </c>
      <c r="C114" s="147" t="n">
        <v>43013</v>
      </c>
      <c r="D114" s="151" t="n">
        <v>1</v>
      </c>
      <c r="E114" s="36" t="n">
        <v>1</v>
      </c>
      <c r="F114" s="58" t="s">
        <v>1402</v>
      </c>
      <c r="G114" s="0" t="s">
        <v>178</v>
      </c>
    </row>
    <row r="115" customFormat="false" ht="14.4" hidden="false" customHeight="false" outlineLevel="0" collapsed="false">
      <c r="A115" s="57" t="n">
        <v>57</v>
      </c>
      <c r="B115" s="89" t="s">
        <v>79</v>
      </c>
      <c r="C115" s="147" t="n">
        <v>43011</v>
      </c>
      <c r="D115" s="151" t="n">
        <v>1</v>
      </c>
      <c r="E115" s="36" t="n">
        <v>1</v>
      </c>
      <c r="F115" s="58" t="s">
        <v>1403</v>
      </c>
      <c r="G115" s="0" t="s">
        <v>15</v>
      </c>
    </row>
    <row r="116" customFormat="false" ht="14.4" hidden="false" customHeight="false" outlineLevel="0" collapsed="false">
      <c r="A116" s="57" t="n">
        <v>70</v>
      </c>
      <c r="B116" s="89" t="s">
        <v>92</v>
      </c>
      <c r="C116" s="147" t="n">
        <v>43011</v>
      </c>
      <c r="D116" s="151" t="n">
        <v>2</v>
      </c>
      <c r="E116" s="36" t="n">
        <v>1</v>
      </c>
      <c r="F116" s="58" t="s">
        <v>1404</v>
      </c>
      <c r="G116" s="0" t="s">
        <v>15</v>
      </c>
    </row>
    <row r="117" customFormat="false" ht="14.4" hidden="false" customHeight="false" outlineLevel="0" collapsed="false">
      <c r="A117" s="57" t="n">
        <v>115</v>
      </c>
      <c r="B117" s="89" t="s">
        <v>867</v>
      </c>
      <c r="C117" s="147" t="n">
        <v>43011</v>
      </c>
      <c r="D117" s="151" t="n">
        <v>1</v>
      </c>
      <c r="E117" s="36" t="n">
        <v>1</v>
      </c>
      <c r="F117" s="58" t="s">
        <v>1405</v>
      </c>
      <c r="G117" s="0" t="s">
        <v>15</v>
      </c>
    </row>
    <row r="118" customFormat="false" ht="14.4" hidden="false" customHeight="false" outlineLevel="0" collapsed="false">
      <c r="A118" s="57" t="n">
        <v>104</v>
      </c>
      <c r="B118" s="89" t="s">
        <v>126</v>
      </c>
      <c r="C118" s="147" t="n">
        <v>43011</v>
      </c>
      <c r="D118" s="151" t="n">
        <v>4</v>
      </c>
      <c r="E118" s="36" t="n">
        <v>1</v>
      </c>
      <c r="F118" s="58" t="s">
        <v>1406</v>
      </c>
      <c r="G118" s="0" t="s">
        <v>15</v>
      </c>
    </row>
    <row r="119" customFormat="false" ht="14.4" hidden="false" customHeight="false" outlineLevel="0" collapsed="false">
      <c r="A119" s="57" t="n">
        <v>112</v>
      </c>
      <c r="B119" s="89" t="s">
        <v>134</v>
      </c>
      <c r="C119" s="147" t="n">
        <v>43011</v>
      </c>
      <c r="D119" s="151" t="n">
        <v>1</v>
      </c>
      <c r="E119" s="36" t="n">
        <v>1</v>
      </c>
      <c r="F119" s="58" t="n">
        <v>703</v>
      </c>
      <c r="G119" s="0" t="s">
        <v>15</v>
      </c>
    </row>
    <row r="120" customFormat="false" ht="14.4" hidden="false" customHeight="false" outlineLevel="0" collapsed="false">
      <c r="A120" s="57" t="n">
        <v>96</v>
      </c>
      <c r="B120" s="89" t="s">
        <v>118</v>
      </c>
      <c r="C120" s="147" t="n">
        <v>43011</v>
      </c>
      <c r="D120" s="151" t="n">
        <v>3</v>
      </c>
      <c r="E120" s="36" t="n">
        <v>1</v>
      </c>
      <c r="F120" s="58" t="s">
        <v>1407</v>
      </c>
      <c r="G120" s="0" t="s">
        <v>14</v>
      </c>
    </row>
    <row r="121" customFormat="false" ht="14.4" hidden="false" customHeight="false" outlineLevel="0" collapsed="false">
      <c r="A121" s="57" t="n">
        <v>78</v>
      </c>
      <c r="B121" s="89" t="s">
        <v>100</v>
      </c>
      <c r="C121" s="147" t="n">
        <v>43007</v>
      </c>
      <c r="D121" s="151" t="n">
        <v>10</v>
      </c>
      <c r="E121" s="36" t="n">
        <v>1</v>
      </c>
      <c r="F121" s="58" t="s">
        <v>1408</v>
      </c>
      <c r="G121" s="0" t="s">
        <v>15</v>
      </c>
    </row>
    <row r="122" customFormat="false" ht="14.4" hidden="false" customHeight="false" outlineLevel="0" collapsed="false">
      <c r="A122" s="57" t="n">
        <v>116</v>
      </c>
      <c r="B122" s="89" t="s">
        <v>883</v>
      </c>
      <c r="C122" s="147" t="n">
        <v>43007</v>
      </c>
      <c r="D122" s="151" t="n">
        <v>1</v>
      </c>
      <c r="E122" s="36" t="n">
        <v>1</v>
      </c>
      <c r="F122" s="58" t="s">
        <v>1409</v>
      </c>
      <c r="G122" s="0" t="s">
        <v>15</v>
      </c>
    </row>
    <row r="123" customFormat="false" ht="14.4" hidden="false" customHeight="false" outlineLevel="0" collapsed="false">
      <c r="A123" s="57" t="n">
        <v>115</v>
      </c>
      <c r="B123" s="89" t="s">
        <v>867</v>
      </c>
      <c r="C123" s="147" t="n">
        <v>43007</v>
      </c>
      <c r="D123" s="151" t="n">
        <v>1</v>
      </c>
      <c r="E123" s="36" t="n">
        <v>1</v>
      </c>
      <c r="F123" s="58" t="s">
        <v>1410</v>
      </c>
      <c r="G123" s="0" t="s">
        <v>15</v>
      </c>
    </row>
    <row r="124" customFormat="false" ht="14.4" hidden="false" customHeight="false" outlineLevel="0" collapsed="false">
      <c r="A124" s="57" t="n">
        <v>108</v>
      </c>
      <c r="B124" s="89" t="s">
        <v>130</v>
      </c>
      <c r="C124" s="147" t="n">
        <v>43007</v>
      </c>
      <c r="D124" s="151" t="n">
        <v>1</v>
      </c>
      <c r="E124" s="36" t="n">
        <v>1</v>
      </c>
      <c r="F124" s="58" t="s">
        <v>1411</v>
      </c>
      <c r="G124" s="0" t="s">
        <v>15</v>
      </c>
    </row>
    <row r="125" customFormat="false" ht="14.4" hidden="false" customHeight="false" outlineLevel="0" collapsed="false">
      <c r="A125" s="57" t="n">
        <v>104</v>
      </c>
      <c r="B125" s="89" t="s">
        <v>126</v>
      </c>
      <c r="C125" s="147" t="n">
        <v>43007</v>
      </c>
      <c r="D125" s="151" t="n">
        <v>1</v>
      </c>
      <c r="E125" s="36" t="n">
        <v>1</v>
      </c>
      <c r="F125" s="58" t="s">
        <v>1412</v>
      </c>
      <c r="G125" s="0" t="s">
        <v>15</v>
      </c>
    </row>
    <row r="126" customFormat="false" ht="14.4" hidden="false" customHeight="false" outlineLevel="0" collapsed="false">
      <c r="A126" s="57" t="n">
        <v>104</v>
      </c>
      <c r="B126" s="89" t="s">
        <v>126</v>
      </c>
      <c r="C126" s="147" t="n">
        <v>43005</v>
      </c>
      <c r="D126" s="151" t="n">
        <v>3</v>
      </c>
      <c r="E126" s="36" t="n">
        <v>1</v>
      </c>
      <c r="F126" s="58" t="n">
        <v>127267</v>
      </c>
      <c r="G126" s="0" t="s">
        <v>15</v>
      </c>
    </row>
    <row r="127" customFormat="false" ht="14.4" hidden="false" customHeight="false" outlineLevel="0" collapsed="false">
      <c r="A127" s="57" t="n">
        <v>128</v>
      </c>
      <c r="B127" s="89" t="s">
        <v>150</v>
      </c>
      <c r="C127" s="147" t="n">
        <v>43005</v>
      </c>
      <c r="D127" s="151" t="n">
        <v>1</v>
      </c>
      <c r="E127" s="36" t="n">
        <v>1</v>
      </c>
      <c r="F127" s="58" t="n">
        <v>51768</v>
      </c>
      <c r="G127" s="0" t="s">
        <v>15</v>
      </c>
    </row>
    <row r="128" customFormat="false" ht="14.4" hidden="false" customHeight="false" outlineLevel="0" collapsed="false">
      <c r="A128" s="57" t="n">
        <v>127</v>
      </c>
      <c r="B128" s="89" t="s">
        <v>149</v>
      </c>
      <c r="C128" s="147" t="n">
        <v>43005</v>
      </c>
      <c r="D128" s="151" t="n">
        <v>1</v>
      </c>
      <c r="E128" s="36" t="n">
        <v>1</v>
      </c>
      <c r="F128" s="58" t="n">
        <v>51738</v>
      </c>
      <c r="G128" s="0" t="s">
        <v>15</v>
      </c>
    </row>
    <row r="129" customFormat="false" ht="14.4" hidden="false" customHeight="false" outlineLevel="0" collapsed="false">
      <c r="A129" s="57" t="n">
        <v>126</v>
      </c>
      <c r="B129" s="89" t="s">
        <v>148</v>
      </c>
      <c r="C129" s="147" t="n">
        <v>43005</v>
      </c>
      <c r="D129" s="151" t="n">
        <v>1</v>
      </c>
      <c r="E129" s="36" t="n">
        <v>1</v>
      </c>
      <c r="F129" s="58" t="n">
        <v>785</v>
      </c>
      <c r="G129" s="0" t="s">
        <v>15</v>
      </c>
    </row>
    <row r="130" customFormat="false" ht="14.4" hidden="false" customHeight="false" outlineLevel="0" collapsed="false">
      <c r="A130" s="57" t="n">
        <v>34</v>
      </c>
      <c r="B130" s="89" t="s">
        <v>56</v>
      </c>
      <c r="C130" s="147" t="n">
        <v>43003</v>
      </c>
      <c r="D130" s="151" t="n">
        <v>7</v>
      </c>
      <c r="E130" s="36" t="n">
        <v>1</v>
      </c>
      <c r="F130" s="58" t="s">
        <v>1413</v>
      </c>
      <c r="G130" s="0" t="s">
        <v>12</v>
      </c>
    </row>
    <row r="131" customFormat="false" ht="14.4" hidden="false" customHeight="false" outlineLevel="0" collapsed="false">
      <c r="A131" s="57" t="n">
        <v>104</v>
      </c>
      <c r="B131" s="89" t="s">
        <v>126</v>
      </c>
      <c r="C131" s="147" t="n">
        <v>42999</v>
      </c>
      <c r="D131" s="151" t="n">
        <v>4</v>
      </c>
      <c r="E131" s="36" t="n">
        <v>1</v>
      </c>
      <c r="F131" s="58" t="s">
        <v>1414</v>
      </c>
      <c r="G131" s="0" t="s">
        <v>15</v>
      </c>
    </row>
    <row r="132" customFormat="false" ht="14.4" hidden="false" customHeight="false" outlineLevel="0" collapsed="false">
      <c r="A132" s="57" t="n">
        <v>104</v>
      </c>
      <c r="B132" s="89" t="s">
        <v>126</v>
      </c>
      <c r="C132" s="147" t="n">
        <v>42998</v>
      </c>
      <c r="D132" s="151" t="n">
        <v>1</v>
      </c>
      <c r="E132" s="36" t="n">
        <v>1</v>
      </c>
      <c r="F132" s="58" t="s">
        <v>1415</v>
      </c>
      <c r="G132" s="0" t="s">
        <v>15</v>
      </c>
    </row>
    <row r="133" customFormat="false" ht="14.4" hidden="false" customHeight="false" outlineLevel="0" collapsed="false">
      <c r="A133" s="57" t="n">
        <v>104</v>
      </c>
      <c r="B133" s="89" t="s">
        <v>126</v>
      </c>
      <c r="C133" s="147" t="n">
        <v>42996</v>
      </c>
      <c r="D133" s="151" t="n">
        <v>1</v>
      </c>
      <c r="E133" s="36" t="n">
        <v>1</v>
      </c>
      <c r="F133" s="58" t="n">
        <v>124914</v>
      </c>
      <c r="G133" s="0" t="s">
        <v>15</v>
      </c>
    </row>
    <row r="134" customFormat="false" ht="14.4" hidden="false" customHeight="false" outlineLevel="0" collapsed="false">
      <c r="A134" s="57" t="n">
        <v>106</v>
      </c>
      <c r="B134" s="89" t="s">
        <v>128</v>
      </c>
      <c r="C134" s="147" t="n">
        <v>42996</v>
      </c>
      <c r="D134" s="151" t="n">
        <v>2</v>
      </c>
      <c r="E134" s="36" t="n">
        <v>1</v>
      </c>
      <c r="F134" s="58" t="n">
        <v>124914</v>
      </c>
      <c r="G134" s="0" t="s">
        <v>15</v>
      </c>
    </row>
    <row r="135" customFormat="false" ht="14.4" hidden="false" customHeight="false" outlineLevel="0" collapsed="false">
      <c r="A135" s="57" t="n">
        <v>104</v>
      </c>
      <c r="B135" s="89" t="s">
        <v>126</v>
      </c>
      <c r="C135" s="147" t="n">
        <v>42996</v>
      </c>
      <c r="D135" s="151" t="n">
        <v>11</v>
      </c>
      <c r="E135" s="36" t="n">
        <v>1</v>
      </c>
      <c r="F135" s="58" t="n">
        <v>124913</v>
      </c>
      <c r="G135" s="0" t="s">
        <v>15</v>
      </c>
    </row>
    <row r="136" customFormat="false" ht="14.4" hidden="false" customHeight="false" outlineLevel="0" collapsed="false">
      <c r="A136" s="57" t="n">
        <v>18</v>
      </c>
      <c r="B136" s="89" t="s">
        <v>40</v>
      </c>
      <c r="C136" s="147" t="n">
        <v>42953</v>
      </c>
      <c r="D136" s="151" t="n">
        <v>1</v>
      </c>
      <c r="E136" s="36" t="n">
        <v>1</v>
      </c>
      <c r="F136" s="58" t="s">
        <v>1416</v>
      </c>
      <c r="G136" s="0" t="s">
        <v>15</v>
      </c>
    </row>
    <row r="137" customFormat="false" ht="14.4" hidden="false" customHeight="false" outlineLevel="0" collapsed="false">
      <c r="A137" s="57" t="n">
        <v>104</v>
      </c>
      <c r="B137" s="89" t="s">
        <v>126</v>
      </c>
      <c r="C137" s="147" t="n">
        <v>42986</v>
      </c>
      <c r="D137" s="151" t="n">
        <v>8</v>
      </c>
      <c r="E137" s="36" t="n">
        <v>1</v>
      </c>
      <c r="F137" s="58" t="s">
        <v>1417</v>
      </c>
      <c r="G137" s="0" t="s">
        <v>15</v>
      </c>
    </row>
    <row r="138" customFormat="false" ht="14.4" hidden="false" customHeight="false" outlineLevel="0" collapsed="false">
      <c r="A138" s="57" t="n">
        <v>33</v>
      </c>
      <c r="B138" s="89" t="s">
        <v>55</v>
      </c>
      <c r="C138" s="147" t="n">
        <v>42977</v>
      </c>
      <c r="D138" s="151" t="n">
        <v>1</v>
      </c>
      <c r="E138" s="36" t="n">
        <v>1</v>
      </c>
      <c r="F138" s="58" t="s">
        <v>1418</v>
      </c>
      <c r="G138" s="0" t="s">
        <v>362</v>
      </c>
    </row>
    <row r="139" customFormat="false" ht="14.4" hidden="false" customHeight="false" outlineLevel="0" collapsed="false">
      <c r="A139" s="57" t="n">
        <v>32</v>
      </c>
      <c r="B139" s="89" t="s">
        <v>54</v>
      </c>
      <c r="C139" s="147" t="n">
        <v>42977</v>
      </c>
      <c r="D139" s="151" t="n">
        <v>1</v>
      </c>
      <c r="E139" s="36" t="n">
        <v>1</v>
      </c>
      <c r="F139" s="58" t="s">
        <v>1418</v>
      </c>
      <c r="G139" s="0" t="s">
        <v>362</v>
      </c>
    </row>
    <row r="140" customFormat="false" ht="14.4" hidden="false" customHeight="false" outlineLevel="0" collapsed="false">
      <c r="A140" s="57" t="n">
        <v>31</v>
      </c>
      <c r="B140" s="89" t="s">
        <v>53</v>
      </c>
      <c r="C140" s="147" t="n">
        <v>42977</v>
      </c>
      <c r="D140" s="151" t="n">
        <v>1</v>
      </c>
      <c r="E140" s="36" t="n">
        <v>1</v>
      </c>
      <c r="F140" s="58" t="s">
        <v>1418</v>
      </c>
      <c r="G140" s="0" t="s">
        <v>362</v>
      </c>
    </row>
    <row r="141" customFormat="false" ht="14.4" hidden="false" customHeight="false" outlineLevel="0" collapsed="false">
      <c r="A141" s="57" t="n">
        <v>30</v>
      </c>
      <c r="B141" s="89" t="s">
        <v>52</v>
      </c>
      <c r="C141" s="147" t="n">
        <v>42977</v>
      </c>
      <c r="D141" s="151" t="n">
        <v>1</v>
      </c>
      <c r="E141" s="36" t="n">
        <v>1</v>
      </c>
      <c r="F141" s="58" t="s">
        <v>1418</v>
      </c>
      <c r="G141" s="0" t="s">
        <v>362</v>
      </c>
    </row>
    <row r="142" customFormat="false" ht="14.4" hidden="false" customHeight="false" outlineLevel="0" collapsed="false">
      <c r="A142" s="57" t="n">
        <v>29</v>
      </c>
      <c r="B142" s="89" t="s">
        <v>51</v>
      </c>
      <c r="C142" s="147" t="n">
        <v>42977</v>
      </c>
      <c r="D142" s="151" t="n">
        <v>1</v>
      </c>
      <c r="E142" s="36" t="n">
        <v>1</v>
      </c>
      <c r="F142" s="58" t="s">
        <v>1418</v>
      </c>
      <c r="G142" s="0" t="s">
        <v>362</v>
      </c>
    </row>
    <row r="143" customFormat="false" ht="14.4" hidden="false" customHeight="false" outlineLevel="0" collapsed="false">
      <c r="A143" s="57" t="n">
        <v>28</v>
      </c>
      <c r="B143" s="89" t="s">
        <v>50</v>
      </c>
      <c r="C143" s="147" t="n">
        <v>42977</v>
      </c>
      <c r="D143" s="151" t="n">
        <v>1</v>
      </c>
      <c r="E143" s="36" t="n">
        <v>1</v>
      </c>
      <c r="F143" s="58" t="s">
        <v>1419</v>
      </c>
      <c r="G143" s="0" t="s">
        <v>362</v>
      </c>
    </row>
    <row r="144" customFormat="false" ht="14.4" hidden="false" customHeight="false" outlineLevel="0" collapsed="false">
      <c r="A144" s="57" t="n">
        <v>70</v>
      </c>
      <c r="B144" s="89" t="s">
        <v>92</v>
      </c>
      <c r="C144" s="147" t="n">
        <v>42976</v>
      </c>
      <c r="D144" s="151" t="n">
        <v>3</v>
      </c>
      <c r="E144" s="36" t="n">
        <v>1</v>
      </c>
      <c r="F144" s="58" t="s">
        <v>1420</v>
      </c>
      <c r="G144" s="0" t="s">
        <v>15</v>
      </c>
    </row>
    <row r="145" customFormat="false" ht="14.4" hidden="false" customHeight="false" outlineLevel="0" collapsed="false">
      <c r="A145" s="57" t="n">
        <v>37</v>
      </c>
      <c r="B145" s="89" t="s">
        <v>59</v>
      </c>
      <c r="C145" s="147" t="n">
        <v>42976</v>
      </c>
      <c r="D145" s="151" t="n">
        <v>3</v>
      </c>
      <c r="E145" s="36" t="n">
        <v>1</v>
      </c>
      <c r="F145" s="58" t="s">
        <v>1421</v>
      </c>
      <c r="G145" s="0" t="s">
        <v>15</v>
      </c>
    </row>
    <row r="146" customFormat="false" ht="14.4" hidden="false" customHeight="false" outlineLevel="0" collapsed="false">
      <c r="A146" s="57" t="n">
        <v>99</v>
      </c>
      <c r="B146" s="89" t="s">
        <v>121</v>
      </c>
      <c r="C146" s="147" t="n">
        <v>42976</v>
      </c>
      <c r="D146" s="151" t="n">
        <v>28</v>
      </c>
      <c r="E146" s="36" t="n">
        <v>1</v>
      </c>
      <c r="F146" s="58" t="s">
        <v>1422</v>
      </c>
      <c r="G146" s="0" t="s">
        <v>15</v>
      </c>
    </row>
    <row r="147" customFormat="false" ht="14.4" hidden="false" customHeight="false" outlineLevel="0" collapsed="false">
      <c r="A147" s="57" t="n">
        <v>113</v>
      </c>
      <c r="B147" s="89" t="s">
        <v>1296</v>
      </c>
      <c r="C147" s="147" t="n">
        <v>42975</v>
      </c>
      <c r="D147" s="151" t="n">
        <v>1</v>
      </c>
      <c r="E147" s="36" t="n">
        <v>1</v>
      </c>
      <c r="F147" s="58" t="s">
        <v>1423</v>
      </c>
      <c r="G147" s="0" t="s">
        <v>15</v>
      </c>
    </row>
    <row r="148" customFormat="false" ht="14.4" hidden="false" customHeight="false" outlineLevel="0" collapsed="false">
      <c r="A148" s="57" t="n">
        <v>104</v>
      </c>
      <c r="B148" s="89" t="s">
        <v>126</v>
      </c>
      <c r="C148" s="147" t="n">
        <v>42975</v>
      </c>
      <c r="D148" s="151" t="n">
        <v>4</v>
      </c>
      <c r="E148" s="36" t="n">
        <v>1</v>
      </c>
      <c r="F148" s="58" t="s">
        <v>1424</v>
      </c>
      <c r="G148" s="0" t="s">
        <v>15</v>
      </c>
    </row>
    <row r="149" customFormat="false" ht="14.4" hidden="false" customHeight="false" outlineLevel="0" collapsed="false">
      <c r="A149" s="57" t="n">
        <v>116</v>
      </c>
      <c r="B149" s="89" t="s">
        <v>883</v>
      </c>
      <c r="C149" s="147" t="n">
        <v>42972</v>
      </c>
      <c r="D149" s="151" t="n">
        <v>1</v>
      </c>
      <c r="E149" s="36" t="n">
        <v>1</v>
      </c>
      <c r="F149" s="58" t="s">
        <v>1425</v>
      </c>
      <c r="G149" s="0" t="s">
        <v>15</v>
      </c>
    </row>
    <row r="150" customFormat="false" ht="14.4" hidden="false" customHeight="false" outlineLevel="0" collapsed="false">
      <c r="A150" s="57" t="n">
        <v>104</v>
      </c>
      <c r="B150" s="89" t="s">
        <v>126</v>
      </c>
      <c r="C150" s="147" t="n">
        <v>42972</v>
      </c>
      <c r="D150" s="151" t="n">
        <v>2</v>
      </c>
      <c r="E150" s="36" t="n">
        <v>1</v>
      </c>
      <c r="F150" s="58" t="s">
        <v>1426</v>
      </c>
      <c r="G150" s="0" t="s">
        <v>15</v>
      </c>
    </row>
    <row r="151" customFormat="false" ht="14.4" hidden="false" customHeight="false" outlineLevel="0" collapsed="false">
      <c r="A151" s="57" t="n">
        <v>70</v>
      </c>
      <c r="B151" s="89" t="s">
        <v>92</v>
      </c>
      <c r="C151" s="147" t="n">
        <v>42971</v>
      </c>
      <c r="D151" s="151" t="n">
        <v>1</v>
      </c>
      <c r="E151" s="36" t="n">
        <v>1</v>
      </c>
      <c r="F151" s="58" t="s">
        <v>1427</v>
      </c>
      <c r="G151" s="0" t="s">
        <v>15</v>
      </c>
    </row>
    <row r="152" customFormat="false" ht="14.4" hidden="false" customHeight="false" outlineLevel="0" collapsed="false">
      <c r="A152" s="57" t="n">
        <v>37</v>
      </c>
      <c r="B152" s="89" t="s">
        <v>59</v>
      </c>
      <c r="C152" s="147" t="n">
        <v>42971</v>
      </c>
      <c r="D152" s="151" t="n">
        <v>1</v>
      </c>
      <c r="E152" s="36" t="n">
        <v>1</v>
      </c>
      <c r="F152" s="58" t="s">
        <v>1427</v>
      </c>
      <c r="G152" s="0" t="s">
        <v>15</v>
      </c>
    </row>
    <row r="153" customFormat="false" ht="14.4" hidden="false" customHeight="false" outlineLevel="0" collapsed="false">
      <c r="A153" s="57" t="n">
        <v>115</v>
      </c>
      <c r="B153" s="89" t="s">
        <v>867</v>
      </c>
      <c r="C153" s="147" t="n">
        <v>42968</v>
      </c>
      <c r="D153" s="151" t="n">
        <v>1</v>
      </c>
      <c r="E153" s="36" t="n">
        <v>1</v>
      </c>
      <c r="F153" s="58" t="s">
        <v>1428</v>
      </c>
      <c r="G153" s="0" t="s">
        <v>15</v>
      </c>
    </row>
    <row r="154" customFormat="false" ht="14.4" hidden="false" customHeight="false" outlineLevel="0" collapsed="false">
      <c r="A154" s="57" t="n">
        <v>104</v>
      </c>
      <c r="B154" s="89" t="s">
        <v>126</v>
      </c>
      <c r="C154" s="147" t="n">
        <v>42968</v>
      </c>
      <c r="D154" s="151" t="n">
        <v>6</v>
      </c>
      <c r="E154" s="36" t="n">
        <v>1</v>
      </c>
      <c r="F154" s="58" t="s">
        <v>1429</v>
      </c>
      <c r="G154" s="0" t="s">
        <v>15</v>
      </c>
    </row>
    <row r="155" customFormat="false" ht="14.4" hidden="false" customHeight="false" outlineLevel="0" collapsed="false">
      <c r="A155" s="57" t="n">
        <v>108</v>
      </c>
      <c r="B155" s="89" t="s">
        <v>130</v>
      </c>
      <c r="C155" s="147" t="n">
        <v>42965</v>
      </c>
      <c r="D155" s="151" t="n">
        <v>1</v>
      </c>
      <c r="E155" s="36" t="n">
        <v>1</v>
      </c>
      <c r="F155" s="58" t="s">
        <v>1430</v>
      </c>
      <c r="G155" s="0" t="s">
        <v>178</v>
      </c>
    </row>
    <row r="156" customFormat="false" ht="14.4" hidden="false" customHeight="false" outlineLevel="0" collapsed="false">
      <c r="A156" s="57" t="n">
        <v>104</v>
      </c>
      <c r="B156" s="89" t="s">
        <v>126</v>
      </c>
      <c r="C156" s="147" t="n">
        <v>42965</v>
      </c>
      <c r="D156" s="151" t="n">
        <v>10</v>
      </c>
      <c r="E156" s="36" t="n">
        <v>1</v>
      </c>
      <c r="F156" s="58" t="s">
        <v>1431</v>
      </c>
      <c r="G156" s="0" t="s">
        <v>12</v>
      </c>
    </row>
    <row r="157" customFormat="false" ht="14.4" hidden="false" customHeight="false" outlineLevel="0" collapsed="false">
      <c r="A157" s="57" t="n">
        <v>121</v>
      </c>
      <c r="B157" s="89" t="s">
        <v>143</v>
      </c>
      <c r="C157" s="147" t="n">
        <v>42964</v>
      </c>
      <c r="D157" s="151" t="n">
        <v>2</v>
      </c>
      <c r="E157" s="36" t="n">
        <v>1</v>
      </c>
      <c r="F157" s="58" t="s">
        <v>1432</v>
      </c>
      <c r="G157" s="0" t="s">
        <v>15</v>
      </c>
    </row>
    <row r="158" customFormat="false" ht="14.4" hidden="false" customHeight="false" outlineLevel="0" collapsed="false">
      <c r="A158" s="57" t="n">
        <v>18</v>
      </c>
      <c r="B158" s="89" t="s">
        <v>40</v>
      </c>
      <c r="C158" s="147" t="n">
        <v>42964</v>
      </c>
      <c r="D158" s="151" t="n">
        <v>14</v>
      </c>
      <c r="E158" s="36" t="n">
        <v>1</v>
      </c>
      <c r="F158" s="58" t="s">
        <v>1433</v>
      </c>
      <c r="G158" s="0" t="s">
        <v>15</v>
      </c>
    </row>
    <row r="159" customFormat="false" ht="13.8" hidden="false" customHeight="false" outlineLevel="0" collapsed="false">
      <c r="A159" s="57"/>
      <c r="E159" s="36"/>
      <c r="F159" s="58"/>
    </row>
    <row r="160" customFormat="false" ht="13.8" hidden="false" customHeight="false" outlineLevel="0" collapsed="false">
      <c r="A160" s="57"/>
      <c r="E160" s="36"/>
      <c r="F160" s="58"/>
    </row>
    <row r="161" customFormat="false" ht="14.4" hidden="false" customHeight="false" outlineLevel="0" collapsed="false">
      <c r="A161" s="57" t="n">
        <v>91</v>
      </c>
      <c r="B161" s="89" t="s">
        <v>113</v>
      </c>
      <c r="C161" s="147" t="n">
        <v>42961</v>
      </c>
      <c r="D161" s="151" t="n">
        <v>1</v>
      </c>
      <c r="E161" s="36" t="n">
        <v>1</v>
      </c>
      <c r="F161" s="58" t="s">
        <v>1434</v>
      </c>
      <c r="G161" s="0" t="s">
        <v>12</v>
      </c>
    </row>
    <row r="162" customFormat="false" ht="14.4" hidden="false" customHeight="false" outlineLevel="0" collapsed="false">
      <c r="A162" s="57" t="n">
        <v>99</v>
      </c>
      <c r="B162" s="89" t="s">
        <v>121</v>
      </c>
      <c r="C162" s="147" t="n">
        <v>42961</v>
      </c>
      <c r="D162" s="151" t="n">
        <v>1</v>
      </c>
      <c r="E162" s="36" t="n">
        <v>1</v>
      </c>
      <c r="F162" s="58" t="s">
        <v>1435</v>
      </c>
      <c r="G162" s="0" t="s">
        <v>12</v>
      </c>
    </row>
    <row r="163" customFormat="false" ht="14.4" hidden="false" customHeight="false" outlineLevel="0" collapsed="false">
      <c r="A163" s="57" t="n">
        <v>36</v>
      </c>
      <c r="B163" s="89" t="s">
        <v>58</v>
      </c>
      <c r="C163" s="147" t="n">
        <v>42961</v>
      </c>
      <c r="D163" s="151" t="n">
        <v>1</v>
      </c>
      <c r="E163" s="36" t="n">
        <v>1</v>
      </c>
      <c r="F163" s="58" t="s">
        <v>1436</v>
      </c>
      <c r="G163" s="0" t="s">
        <v>12</v>
      </c>
    </row>
    <row r="164" customFormat="false" ht="14.4" hidden="false" customHeight="false" outlineLevel="0" collapsed="false">
      <c r="A164" s="57" t="n">
        <v>114</v>
      </c>
      <c r="B164" s="89" t="s">
        <v>923</v>
      </c>
      <c r="C164" s="147" t="n">
        <v>42961</v>
      </c>
      <c r="D164" s="151" t="n">
        <v>1</v>
      </c>
      <c r="E164" s="36" t="n">
        <v>1</v>
      </c>
      <c r="F164" s="58" t="s">
        <v>1437</v>
      </c>
      <c r="G164" s="0" t="s">
        <v>15</v>
      </c>
    </row>
    <row r="165" customFormat="false" ht="14.4" hidden="false" customHeight="false" outlineLevel="0" collapsed="false">
      <c r="A165" s="57" t="n">
        <v>116</v>
      </c>
      <c r="B165" s="89" t="s">
        <v>883</v>
      </c>
      <c r="C165" s="147" t="n">
        <v>42961</v>
      </c>
      <c r="D165" s="151" t="n">
        <v>1</v>
      </c>
      <c r="E165" s="36" t="n">
        <v>1</v>
      </c>
      <c r="F165" s="58" t="s">
        <v>1438</v>
      </c>
      <c r="G165" s="0" t="s">
        <v>15</v>
      </c>
    </row>
    <row r="166" customFormat="false" ht="14.4" hidden="false" customHeight="false" outlineLevel="0" collapsed="false">
      <c r="A166" s="57" t="n">
        <v>104</v>
      </c>
      <c r="B166" s="89" t="s">
        <v>126</v>
      </c>
      <c r="C166" s="147" t="n">
        <v>42961</v>
      </c>
      <c r="D166" s="151" t="n">
        <v>2</v>
      </c>
      <c r="E166" s="36" t="n">
        <v>1</v>
      </c>
      <c r="F166" s="58" t="s">
        <v>1439</v>
      </c>
      <c r="G166" s="0" t="s">
        <v>15</v>
      </c>
    </row>
    <row r="167" customFormat="false" ht="14.4" hidden="false" customHeight="false" outlineLevel="0" collapsed="false">
      <c r="A167" s="57" t="n">
        <v>104</v>
      </c>
      <c r="B167" s="89" t="s">
        <v>126</v>
      </c>
      <c r="C167" s="147" t="n">
        <v>42957</v>
      </c>
      <c r="D167" s="151" t="n">
        <v>5</v>
      </c>
      <c r="E167" s="36" t="n">
        <v>1</v>
      </c>
      <c r="F167" s="58" t="s">
        <v>1440</v>
      </c>
      <c r="G167" s="0" t="s">
        <v>15</v>
      </c>
    </row>
    <row r="168" customFormat="false" ht="14.4" hidden="false" customHeight="false" outlineLevel="0" collapsed="false">
      <c r="A168" s="57" t="n">
        <v>104</v>
      </c>
      <c r="B168" s="89" t="s">
        <v>126</v>
      </c>
      <c r="C168" s="147" t="n">
        <v>42954</v>
      </c>
      <c r="D168" s="151" t="n">
        <v>1</v>
      </c>
      <c r="E168" s="36" t="n">
        <v>1</v>
      </c>
      <c r="F168" s="58" t="s">
        <v>1441</v>
      </c>
      <c r="G168" s="0" t="s">
        <v>15</v>
      </c>
    </row>
    <row r="169" customFormat="false" ht="14.4" hidden="false" customHeight="false" outlineLevel="0" collapsed="false">
      <c r="A169" s="57" t="n">
        <v>94</v>
      </c>
      <c r="B169" s="89" t="s">
        <v>116</v>
      </c>
      <c r="C169" s="147" t="n">
        <v>42951</v>
      </c>
      <c r="D169" s="151" t="n">
        <v>1</v>
      </c>
      <c r="E169" s="36" t="n">
        <v>1</v>
      </c>
      <c r="F169" s="58" t="s">
        <v>1442</v>
      </c>
      <c r="G169" s="0" t="s">
        <v>15</v>
      </c>
    </row>
    <row r="170" customFormat="false" ht="14.4" hidden="false" customHeight="false" outlineLevel="0" collapsed="false">
      <c r="A170" s="57" t="n">
        <v>73</v>
      </c>
      <c r="B170" s="89" t="s">
        <v>95</v>
      </c>
      <c r="C170" s="147" t="n">
        <v>42951</v>
      </c>
      <c r="D170" s="151" t="n">
        <v>1</v>
      </c>
      <c r="E170" s="36" t="n">
        <v>1</v>
      </c>
      <c r="F170" s="58" t="s">
        <v>1443</v>
      </c>
      <c r="G170" s="0" t="s">
        <v>15</v>
      </c>
    </row>
    <row r="171" customFormat="false" ht="14.4" hidden="false" customHeight="false" outlineLevel="0" collapsed="false">
      <c r="A171" s="57" t="n">
        <v>113</v>
      </c>
      <c r="B171" s="89" t="s">
        <v>1296</v>
      </c>
      <c r="C171" s="147" t="n">
        <v>42951</v>
      </c>
      <c r="D171" s="151" t="n">
        <v>1</v>
      </c>
      <c r="E171" s="36" t="n">
        <v>1</v>
      </c>
      <c r="F171" s="58" t="s">
        <v>1444</v>
      </c>
      <c r="G171" s="0" t="s">
        <v>15</v>
      </c>
    </row>
    <row r="172" customFormat="false" ht="14.4" hidden="false" customHeight="false" outlineLevel="0" collapsed="false">
      <c r="A172" s="57" t="n">
        <v>116</v>
      </c>
      <c r="B172" s="89" t="s">
        <v>883</v>
      </c>
      <c r="C172" s="147" t="n">
        <v>42951</v>
      </c>
      <c r="D172" s="151" t="n">
        <v>1</v>
      </c>
      <c r="E172" s="36" t="n">
        <v>1</v>
      </c>
      <c r="F172" s="58" t="s">
        <v>1444</v>
      </c>
      <c r="G172" s="0" t="s">
        <v>15</v>
      </c>
    </row>
    <row r="173" customFormat="false" ht="14.4" hidden="false" customHeight="false" outlineLevel="0" collapsed="false">
      <c r="A173" s="57" t="n">
        <v>104</v>
      </c>
      <c r="B173" s="89" t="s">
        <v>126</v>
      </c>
      <c r="C173" s="147" t="n">
        <v>42951</v>
      </c>
      <c r="D173" s="151" t="n">
        <v>1</v>
      </c>
      <c r="E173" s="36" t="n">
        <v>1</v>
      </c>
      <c r="F173" s="58" t="s">
        <v>1444</v>
      </c>
      <c r="G173" s="0" t="s">
        <v>15</v>
      </c>
    </row>
    <row r="174" customFormat="false" ht="14.4" hidden="false" customHeight="false" outlineLevel="0" collapsed="false">
      <c r="A174" s="57" t="n">
        <v>104</v>
      </c>
      <c r="B174" s="89" t="s">
        <v>126</v>
      </c>
      <c r="C174" s="147" t="n">
        <v>42949</v>
      </c>
      <c r="D174" s="151" t="n">
        <v>5</v>
      </c>
      <c r="E174" s="36" t="n">
        <v>1</v>
      </c>
      <c r="F174" s="58" t="s">
        <v>1445</v>
      </c>
      <c r="G174" s="0" t="s">
        <v>15</v>
      </c>
    </row>
    <row r="175" customFormat="false" ht="14.4" hidden="false" customHeight="false" outlineLevel="0" collapsed="false">
      <c r="A175" s="57" t="n">
        <v>104</v>
      </c>
      <c r="B175" s="89" t="s">
        <v>126</v>
      </c>
      <c r="C175" s="147" t="n">
        <v>42948</v>
      </c>
      <c r="D175" s="151" t="n">
        <v>4</v>
      </c>
      <c r="E175" s="36" t="n">
        <v>1</v>
      </c>
      <c r="F175" s="58" t="s">
        <v>1446</v>
      </c>
      <c r="G175" s="0" t="s">
        <v>15</v>
      </c>
    </row>
    <row r="176" customFormat="false" ht="14.4" hidden="false" customHeight="false" outlineLevel="0" collapsed="false">
      <c r="A176" s="57" t="n">
        <v>104</v>
      </c>
      <c r="B176" s="89" t="s">
        <v>126</v>
      </c>
      <c r="C176" s="147" t="n">
        <v>42947</v>
      </c>
      <c r="D176" s="151" t="n">
        <v>1</v>
      </c>
      <c r="E176" s="36" t="n">
        <v>1</v>
      </c>
      <c r="F176" s="58" t="s">
        <v>1447</v>
      </c>
      <c r="G176" s="0" t="s">
        <v>15</v>
      </c>
    </row>
    <row r="177" customFormat="false" ht="14.4" hidden="false" customHeight="false" outlineLevel="0" collapsed="false">
      <c r="A177" s="57" t="n">
        <v>116</v>
      </c>
      <c r="B177" s="89" t="s">
        <v>883</v>
      </c>
      <c r="C177" s="147" t="n">
        <v>42941</v>
      </c>
      <c r="D177" s="151" t="n">
        <v>1</v>
      </c>
      <c r="E177" s="36" t="n">
        <v>1</v>
      </c>
      <c r="F177" s="58" t="s">
        <v>1448</v>
      </c>
      <c r="G177" s="0" t="s">
        <v>15</v>
      </c>
    </row>
    <row r="178" customFormat="false" ht="14.4" hidden="false" customHeight="false" outlineLevel="0" collapsed="false">
      <c r="A178" s="57" t="n">
        <v>104</v>
      </c>
      <c r="B178" s="89" t="s">
        <v>126</v>
      </c>
      <c r="C178" s="147" t="n">
        <v>42941</v>
      </c>
      <c r="D178" s="151" t="n">
        <v>4</v>
      </c>
      <c r="E178" s="36" t="n">
        <v>1</v>
      </c>
      <c r="F178" s="58" t="s">
        <v>1449</v>
      </c>
      <c r="G178" s="0" t="s">
        <v>15</v>
      </c>
    </row>
    <row r="179" customFormat="false" ht="14.4" hidden="false" customHeight="false" outlineLevel="0" collapsed="false">
      <c r="A179" s="57" t="n">
        <v>18</v>
      </c>
      <c r="B179" s="89" t="s">
        <v>40</v>
      </c>
      <c r="C179" s="147" t="n">
        <v>42941</v>
      </c>
      <c r="D179" s="151" t="n">
        <v>3</v>
      </c>
      <c r="E179" s="36" t="n">
        <v>70</v>
      </c>
      <c r="F179" s="58" t="s">
        <v>1450</v>
      </c>
      <c r="G179" s="0" t="s">
        <v>15</v>
      </c>
    </row>
    <row r="180" customFormat="false" ht="14.4" hidden="false" customHeight="false" outlineLevel="0" collapsed="false">
      <c r="A180" s="57" t="n">
        <v>116</v>
      </c>
      <c r="B180" s="89" t="s">
        <v>883</v>
      </c>
      <c r="C180" s="147" t="n">
        <v>42940</v>
      </c>
      <c r="D180" s="151" t="n">
        <v>1</v>
      </c>
      <c r="E180" s="36" t="n">
        <v>1</v>
      </c>
      <c r="F180" s="58" t="s">
        <v>1451</v>
      </c>
      <c r="G180" s="0" t="s">
        <v>15</v>
      </c>
    </row>
    <row r="181" customFormat="false" ht="14.4" hidden="false" customHeight="false" outlineLevel="0" collapsed="false">
      <c r="A181" s="57" t="n">
        <v>113</v>
      </c>
      <c r="B181" s="89" t="s">
        <v>1296</v>
      </c>
      <c r="C181" s="147" t="n">
        <v>42936</v>
      </c>
      <c r="D181" s="151" t="n">
        <v>1</v>
      </c>
      <c r="E181" s="36" t="n">
        <v>1</v>
      </c>
      <c r="F181" s="58" t="s">
        <v>1452</v>
      </c>
      <c r="G181" s="0" t="s">
        <v>15</v>
      </c>
    </row>
    <row r="182" customFormat="false" ht="14.4" hidden="false" customHeight="false" outlineLevel="0" collapsed="false">
      <c r="A182" s="57" t="n">
        <v>104</v>
      </c>
      <c r="B182" s="89" t="s">
        <v>126</v>
      </c>
      <c r="C182" s="147" t="n">
        <v>42936</v>
      </c>
      <c r="D182" s="151" t="n">
        <v>9</v>
      </c>
      <c r="E182" s="36" t="n">
        <v>1</v>
      </c>
      <c r="F182" s="58" t="s">
        <v>1453</v>
      </c>
      <c r="G182" s="0" t="s">
        <v>15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4" activeCellId="0" sqref="E:E"/>
    </sheetView>
  </sheetViews>
  <sheetFormatPr defaultRowHeight="15" zeroHeight="false" outlineLevelRow="0" outlineLevelCol="0"/>
  <cols>
    <col collapsed="false" customWidth="true" hidden="false" outlineLevel="0" max="1" min="1" style="0" width="8.49"/>
    <col collapsed="false" customWidth="true" hidden="false" outlineLevel="0" max="2" min="2" style="0" width="16.85"/>
    <col collapsed="false" customWidth="true" hidden="false" outlineLevel="0" max="1025" min="3" style="0" width="8.49"/>
  </cols>
  <sheetData>
    <row r="1" customFormat="false" ht="15" hidden="false" customHeight="false" outlineLevel="0" collapsed="false">
      <c r="B1" s="0" t="s">
        <v>1454</v>
      </c>
    </row>
    <row r="2" customFormat="false" ht="15" hidden="false" customHeight="false" outlineLevel="0" collapsed="false">
      <c r="A2" s="0" t="n">
        <v>1</v>
      </c>
      <c r="B2" s="54" t="s">
        <v>11</v>
      </c>
      <c r="D2" s="155"/>
    </row>
    <row r="3" customFormat="false" ht="15" hidden="false" customHeight="false" outlineLevel="0" collapsed="false">
      <c r="A3" s="0" t="n">
        <v>2</v>
      </c>
      <c r="B3" s="54" t="s">
        <v>178</v>
      </c>
    </row>
    <row r="4" customFormat="false" ht="15" hidden="false" customHeight="false" outlineLevel="0" collapsed="false">
      <c r="A4" s="0" t="n">
        <v>3</v>
      </c>
      <c r="B4" s="54" t="s">
        <v>12</v>
      </c>
      <c r="D4" s="155"/>
    </row>
    <row r="5" customFormat="false" ht="15" hidden="false" customHeight="false" outlineLevel="0" collapsed="false">
      <c r="A5" s="0" t="n">
        <v>4</v>
      </c>
      <c r="B5" s="54" t="s">
        <v>14</v>
      </c>
      <c r="D5" s="155"/>
    </row>
    <row r="6" customFormat="false" ht="15" hidden="false" customHeight="false" outlineLevel="0" collapsed="false">
      <c r="A6" s="0" t="n">
        <v>5</v>
      </c>
      <c r="B6" s="54" t="s">
        <v>15</v>
      </c>
    </row>
    <row r="7" customFormat="false" ht="15" hidden="false" customHeight="false" outlineLevel="0" collapsed="false">
      <c r="A7" s="0" t="n">
        <v>6</v>
      </c>
      <c r="B7" s="54" t="s">
        <v>362</v>
      </c>
    </row>
    <row r="8" customFormat="false" ht="15" hidden="false" customHeight="false" outlineLevel="0" collapsed="false">
      <c r="A8" s="0" t="n">
        <v>7</v>
      </c>
      <c r="B8" s="156" t="s">
        <v>1455</v>
      </c>
    </row>
    <row r="19" customFormat="false" ht="15" hidden="false" customHeight="false" outlineLevel="0" collapsed="false">
      <c r="G19" s="0" t="s">
        <v>1456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2017-04-17T11:16:53Z</dcterms:created>
  <dc:creator>Wenderson Correa da Silva</dc:creator>
  <dc:description/>
  <dc:language>pt-BR</dc:language>
  <cp:lastModifiedBy/>
  <cp:lastPrinted>2018-09-25T13:55:51Z</cp:lastPrinted>
  <dcterms:modified xsi:type="dcterms:W3CDTF">2020-03-03T18:21:10Z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